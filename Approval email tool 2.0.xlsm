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41.xml" ContentType="application/vnd.ms-excel.controlproperties+xml"/>
  <Override PartName="/xl/ctrlProps/ctrlProp4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rrond\Downloads\"/>
    </mc:Choice>
  </mc:AlternateContent>
  <xr:revisionPtr revIDLastSave="0" documentId="13_ncr:1_{30A6C535-712B-4664-9D94-11C59DD7AF86}" xr6:coauthVersionLast="47" xr6:coauthVersionMax="47" xr10:uidLastSave="{00000000-0000-0000-0000-000000000000}"/>
  <bookViews>
    <workbookView xWindow="-110" yWindow="-110" windowWidth="19420" windowHeight="10300" firstSheet="4" activeTab="4" xr2:uid="{5A384F5B-7288-419E-B3EA-A637C89C3988}"/>
  </bookViews>
  <sheets>
    <sheet name="Sourcing types" sheetId="7" r:id="rId1"/>
    <sheet name="Request for approval" sheetId="1" r:id="rId2"/>
    <sheet name="Consultant" sheetId="6" state="hidden" r:id="rId3"/>
    <sheet name="Supplier Data" sheetId="5" state="hidden" r:id="rId4"/>
    <sheet name="Ready for Email" sheetId="3" r:id="rId5"/>
    <sheet name="RFA Backend" sheetId="8" state="hidden" r:id="rId6"/>
    <sheet name="Data validation" sheetId="2" state="hidden" r:id="rId7"/>
    <sheet name="Email address" sheetId="4" state="hidden" r:id="rId8"/>
  </sheets>
  <functionGroups builtInGroupCount="19"/>
  <definedNames>
    <definedName name="_xlnm._FilterDatabase" localSheetId="6" hidden="1">'Data validation'!$A$1:$K$28</definedName>
    <definedName name="_xlnm._FilterDatabase" localSheetId="7" hidden="1">'Email address'!#REF!</definedName>
    <definedName name="_xlnm._FilterDatabase" localSheetId="4" hidden="1">'Ready for Email'!$C$2:$C$6</definedName>
    <definedName name="_xlnm._FilterDatabase" localSheetId="1" hidden="1">'Request for approval'!$C$2:$C$102</definedName>
    <definedName name="_xlnm._FilterDatabase" localSheetId="3" hidden="1">'Supplier Data'!$A$1:$B$1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4" i="8" l="1"/>
  <c r="BH1" i="2"/>
  <c r="BF1" i="2"/>
  <c r="AY2" i="2"/>
  <c r="AY3" i="2"/>
  <c r="AY4" i="2"/>
  <c r="AY5" i="2"/>
  <c r="AY6" i="2"/>
  <c r="AY7" i="2"/>
  <c r="AY8" i="2"/>
  <c r="AY9" i="2"/>
  <c r="AY10" i="2"/>
  <c r="AY11" i="2"/>
  <c r="AY12" i="2"/>
  <c r="AY13" i="2"/>
  <c r="AY14" i="2"/>
  <c r="AY15" i="2"/>
  <c r="AY16" i="2"/>
  <c r="AY17" i="2"/>
  <c r="AY18" i="2"/>
  <c r="AY19" i="2"/>
  <c r="AY20" i="2"/>
  <c r="AY21" i="2"/>
  <c r="AY22" i="2"/>
  <c r="AY23" i="2"/>
  <c r="AY24" i="2"/>
  <c r="AY25" i="2"/>
  <c r="AX8" i="2"/>
  <c r="AY1" i="2"/>
  <c r="C46" i="8" l="1"/>
  <c r="AN1" i="4" s="1"/>
  <c r="C4" i="8"/>
  <c r="K12" i="2"/>
  <c r="C3" i="8"/>
  <c r="C5" i="8"/>
  <c r="C6" i="8"/>
  <c r="C7" i="8"/>
  <c r="C8" i="8"/>
  <c r="C9" i="8"/>
  <c r="C10" i="8"/>
  <c r="C11" i="8"/>
  <c r="C12" i="8"/>
  <c r="C13" i="8"/>
  <c r="C14" i="8"/>
  <c r="C15" i="8"/>
  <c r="C16" i="8"/>
  <c r="C18" i="8"/>
  <c r="C17" i="8" s="1"/>
  <c r="C19" i="8"/>
  <c r="C20" i="8"/>
  <c r="C21" i="8"/>
  <c r="C22" i="8"/>
  <c r="C23" i="8"/>
  <c r="E3" i="8" s="1"/>
  <c r="C24" i="8"/>
  <c r="C25" i="8"/>
  <c r="C26" i="8"/>
  <c r="C27" i="8"/>
  <c r="C28" i="8"/>
  <c r="C29" i="8"/>
  <c r="C30" i="8"/>
  <c r="C31" i="8"/>
  <c r="C32" i="8"/>
  <c r="C33" i="8"/>
  <c r="C34" i="8"/>
  <c r="C35" i="8"/>
  <c r="C36" i="8"/>
  <c r="C37" i="8"/>
  <c r="C38" i="8"/>
  <c r="C39" i="8"/>
  <c r="C40" i="8"/>
  <c r="C41" i="8"/>
  <c r="C42" i="8"/>
  <c r="C43" i="8"/>
  <c r="C45" i="8"/>
  <c r="C47" i="8"/>
  <c r="C48" i="8"/>
  <c r="C49" i="8"/>
  <c r="C50" i="8"/>
  <c r="C51" i="8"/>
  <c r="C52" i="8"/>
  <c r="C53" i="8"/>
  <c r="C54" i="8"/>
  <c r="C55" i="8"/>
  <c r="C56" i="8"/>
  <c r="C57" i="8"/>
  <c r="C2" i="8"/>
  <c r="B9" i="6" l="1"/>
  <c r="C9" i="6" s="1"/>
  <c r="B44" i="4" l="1"/>
  <c r="A1" i="4" s="1"/>
  <c r="AT1" i="2" l="1"/>
  <c r="B1" i="4" a="1"/>
  <c r="B1" i="4" s="1"/>
  <c r="AO1" i="4" a="1"/>
  <c r="AO1" i="4" s="1"/>
  <c r="Z25" i="4"/>
  <c r="K1" i="2"/>
  <c r="C5" i="4" a="1"/>
  <c r="C5" i="4" s="1"/>
  <c r="R5" i="4" s="1"/>
  <c r="C6" i="4" a="1"/>
  <c r="C6" i="4" s="1"/>
  <c r="C7" i="4" a="1"/>
  <c r="C7" i="4" s="1"/>
  <c r="R7" i="4" s="1"/>
  <c r="C8" i="4" a="1"/>
  <c r="C8" i="4" s="1"/>
  <c r="R8" i="4" s="1"/>
  <c r="C9" i="4" a="1"/>
  <c r="C9" i="4" s="1"/>
  <c r="R9" i="4" s="1"/>
  <c r="C10" i="4" a="1"/>
  <c r="C10" i="4" s="1"/>
  <c r="R10" i="4" s="1"/>
  <c r="C11" i="4" a="1"/>
  <c r="C11" i="4" s="1"/>
  <c r="R11" i="4" s="1"/>
  <c r="C12" i="4" a="1"/>
  <c r="C12" i="4" s="1"/>
  <c r="R12" i="4" s="1"/>
  <c r="C13" i="4" a="1"/>
  <c r="C13" i="4" s="1"/>
  <c r="R13" i="4" s="1"/>
  <c r="C14" i="4" a="1"/>
  <c r="C14" i="4" s="1"/>
  <c r="R14" i="4" s="1"/>
  <c r="C15" i="4" a="1"/>
  <c r="C15" i="4" s="1"/>
  <c r="R15" i="4" s="1"/>
  <c r="C16" i="4" a="1"/>
  <c r="C16" i="4" s="1"/>
  <c r="R16" i="4" s="1"/>
  <c r="C17" i="4" a="1"/>
  <c r="C17" i="4" s="1"/>
  <c r="R17" i="4" s="1"/>
  <c r="C18" i="4" a="1"/>
  <c r="C18" i="4" s="1"/>
  <c r="R18" i="4" s="1"/>
  <c r="C19" i="4" a="1"/>
  <c r="C19" i="4" s="1"/>
  <c r="R19" i="4" s="1"/>
  <c r="C20" i="4" a="1"/>
  <c r="C20" i="4" s="1"/>
  <c r="R20" i="4" s="1"/>
  <c r="C21" i="4" a="1"/>
  <c r="C21" i="4" s="1"/>
  <c r="R21" i="4" s="1"/>
  <c r="C22" i="4" a="1"/>
  <c r="C22" i="4" s="1"/>
  <c r="R22" i="4" s="1"/>
  <c r="C23" i="4" a="1"/>
  <c r="C23" i="4" s="1"/>
  <c r="R23" i="4" s="1"/>
  <c r="C24" i="4" a="1"/>
  <c r="C24" i="4" s="1"/>
  <c r="R24" i="4" s="1"/>
  <c r="C25" i="4" a="1"/>
  <c r="C25" i="4" s="1"/>
  <c r="R25" i="4" s="1"/>
  <c r="C26" i="4" a="1"/>
  <c r="C26" i="4" s="1"/>
  <c r="R26" i="4" s="1"/>
  <c r="C27" i="4" a="1"/>
  <c r="C27" i="4" s="1"/>
  <c r="R27" i="4" s="1"/>
  <c r="C28" i="4" a="1"/>
  <c r="C28" i="4" s="1"/>
  <c r="R28" i="4" s="1"/>
  <c r="C29" i="4" a="1"/>
  <c r="C29" i="4" s="1"/>
  <c r="R29" i="4" s="1"/>
  <c r="C30" i="4" a="1"/>
  <c r="C30" i="4" s="1"/>
  <c r="R30" i="4" s="1"/>
  <c r="C31" i="4" a="1"/>
  <c r="C31" i="4" s="1"/>
  <c r="R31" i="4" s="1"/>
  <c r="C32" i="4" a="1"/>
  <c r="C32" i="4" s="1"/>
  <c r="R32" i="4" s="1"/>
  <c r="C33" i="4" a="1"/>
  <c r="C33" i="4" s="1"/>
  <c r="R33" i="4" s="1"/>
  <c r="C34" i="4" a="1"/>
  <c r="C34" i="4" s="1"/>
  <c r="R34" i="4" s="1"/>
  <c r="C35" i="4" a="1"/>
  <c r="C35" i="4" s="1"/>
  <c r="R35" i="4" s="1"/>
  <c r="C36" i="4" a="1"/>
  <c r="C36" i="4" s="1"/>
  <c r="R36" i="4" s="1"/>
  <c r="C37" i="4" a="1"/>
  <c r="C37" i="4" s="1"/>
  <c r="R37" i="4" s="1"/>
  <c r="C38" i="4" a="1"/>
  <c r="C38" i="4" s="1"/>
  <c r="R38" i="4" s="1"/>
  <c r="C39" i="4" a="1"/>
  <c r="C39" i="4" s="1"/>
  <c r="R39" i="4" s="1"/>
  <c r="C4" i="4" a="1"/>
  <c r="C4" i="4" s="1"/>
  <c r="AH12" i="2"/>
  <c r="AH13" i="2"/>
  <c r="AH14" i="2"/>
  <c r="AH15" i="2"/>
  <c r="AH16" i="2"/>
  <c r="AH17" i="2"/>
  <c r="AH18" i="2"/>
  <c r="AH19" i="2"/>
  <c r="AH20" i="2"/>
  <c r="AH21" i="2"/>
  <c r="AH22" i="2"/>
  <c r="AH23" i="2"/>
  <c r="AH24" i="2"/>
  <c r="AH25" i="2"/>
  <c r="AH11" i="2"/>
  <c r="AC12" i="2"/>
  <c r="AD12" i="2" s="1"/>
  <c r="AF12" i="2" s="1"/>
  <c r="AC13" i="2"/>
  <c r="AD13" i="2" s="1"/>
  <c r="AF13" i="2" s="1"/>
  <c r="AC14" i="2"/>
  <c r="AD14" i="2" s="1"/>
  <c r="AF14" i="2" s="1"/>
  <c r="AC15" i="2"/>
  <c r="AD15" i="2" s="1"/>
  <c r="AF15" i="2" s="1"/>
  <c r="AC16" i="2"/>
  <c r="AD16" i="2" s="1"/>
  <c r="AF16" i="2" s="1"/>
  <c r="AC17" i="2"/>
  <c r="AD17" i="2" s="1"/>
  <c r="AF17" i="2" s="1"/>
  <c r="AC18" i="2"/>
  <c r="AD18" i="2" s="1"/>
  <c r="AF18" i="2" s="1"/>
  <c r="AC19" i="2"/>
  <c r="AD19" i="2" s="1"/>
  <c r="AF19" i="2" s="1"/>
  <c r="AC20" i="2"/>
  <c r="AD20" i="2" s="1"/>
  <c r="AF20" i="2" s="1"/>
  <c r="AC21" i="2"/>
  <c r="AD21" i="2" s="1"/>
  <c r="AF21" i="2" s="1"/>
  <c r="AC22" i="2"/>
  <c r="AD22" i="2" s="1"/>
  <c r="AF22" i="2" s="1"/>
  <c r="AC23" i="2"/>
  <c r="AD23" i="2" s="1"/>
  <c r="AF23" i="2" s="1"/>
  <c r="AC24" i="2"/>
  <c r="AD24" i="2" s="1"/>
  <c r="AF24" i="2" s="1"/>
  <c r="AC25" i="2"/>
  <c r="AD25" i="2" s="1"/>
  <c r="AF25" i="2" s="1"/>
  <c r="AC11" i="2"/>
  <c r="AD11" i="2" s="1"/>
  <c r="AF11" i="2" s="1"/>
  <c r="AC2" i="2"/>
  <c r="AC3" i="2"/>
  <c r="AC4" i="2"/>
  <c r="AC5" i="2"/>
  <c r="X1" i="2"/>
  <c r="Y4" i="2" s="1" a="1"/>
  <c r="Y4" i="2" s="1"/>
  <c r="AO3" i="4" l="1"/>
  <c r="AO4" i="4" s="1"/>
  <c r="AT2" i="2"/>
  <c r="AE5" i="4"/>
  <c r="R6" i="4"/>
  <c r="Y9" i="2" a="1"/>
  <c r="Y9" i="2" s="1"/>
  <c r="AT3" i="2" l="1"/>
  <c r="B37" i="1" s="1"/>
  <c r="B19" i="8" s="1"/>
  <c r="B36" i="1"/>
  <c r="B18" i="8" s="1"/>
  <c r="AF5" i="4"/>
  <c r="R4" i="4"/>
  <c r="AG5" i="4"/>
  <c r="AT4" i="2" l="1"/>
  <c r="B38" i="1" l="1"/>
  <c r="B20" i="8" s="1"/>
  <c r="AT5" i="2"/>
  <c r="B39" i="1" l="1"/>
  <c r="B21" i="8" s="1"/>
  <c r="AT6" i="2"/>
  <c r="B40" i="1" l="1"/>
  <c r="B22" i="8" s="1"/>
  <c r="AT7" i="2"/>
  <c r="AT8" i="2" s="1"/>
  <c r="B41" i="1" l="1"/>
  <c r="B23" i="8" s="1"/>
  <c r="AT9" i="2"/>
  <c r="B42" i="1"/>
  <c r="B24" i="8" s="1"/>
  <c r="AT10" i="2" l="1"/>
  <c r="B43" i="1"/>
  <c r="B25" i="8" s="1"/>
  <c r="AT11" i="2" l="1"/>
  <c r="B44" i="1"/>
  <c r="B26" i="8" s="1"/>
  <c r="AT12" i="2" l="1"/>
  <c r="B45" i="1"/>
  <c r="B27" i="8" s="1"/>
  <c r="AT13" i="2" l="1"/>
  <c r="AT14" i="2" s="1"/>
  <c r="AT15" i="2" s="1"/>
  <c r="AT16" i="2" s="1"/>
  <c r="AT17" i="2" s="1"/>
  <c r="AT18" i="2" s="1"/>
  <c r="B46" i="1"/>
  <c r="B28" i="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<sst xmlns="http://schemas.openxmlformats.org/spreadsheetml/2006/main" count="3891" uniqueCount="3313">
  <si>
    <t>Authorised Signatories:</t>
  </si>
  <si>
    <t>Internal approvers:</t>
  </si>
  <si>
    <t>？</t>
  </si>
  <si>
    <t>Supplier:</t>
  </si>
  <si>
    <t>Contract description:</t>
  </si>
  <si>
    <t>Executive Summary:</t>
  </si>
  <si>
    <t>Contract term:</t>
  </si>
  <si>
    <t>Comments re. Contract term:</t>
  </si>
  <si>
    <t>Contract Value:</t>
  </si>
  <si>
    <t>Contract Currency:</t>
  </si>
  <si>
    <t>Comments re. Contract Value:</t>
  </si>
  <si>
    <t>Fee type:</t>
  </si>
  <si>
    <t>Sourcing type:</t>
  </si>
  <si>
    <t>GL Account:</t>
  </si>
  <si>
    <t>Project Code:</t>
  </si>
  <si>
    <t>Signature page(s):</t>
  </si>
  <si>
    <t>Procurement Consideration:</t>
  </si>
  <si>
    <t>Internal documents attached:</t>
  </si>
  <si>
    <t>Data location risk assessment:</t>
  </si>
  <si>
    <t>Risk points:</t>
  </si>
  <si>
    <t>Supplier contact for contract signature:</t>
  </si>
  <si>
    <t>Is supplier ok with soft copies only:</t>
  </si>
  <si>
    <t>Expiry notification date:</t>
  </si>
  <si>
    <t>PLANT Number:</t>
  </si>
  <si>
    <t>Tender Number:</t>
  </si>
  <si>
    <t>Business Unit:</t>
  </si>
  <si>
    <t>CLP Notes:</t>
  </si>
  <si>
    <t>CLP Representative:</t>
  </si>
  <si>
    <t>Consultant:</t>
  </si>
  <si>
    <t>Yes</t>
  </si>
  <si>
    <t>Extension Options:</t>
  </si>
  <si>
    <t>Assignment Reason:</t>
  </si>
  <si>
    <t>Supplier Name</t>
  </si>
  <si>
    <t>Supplier Number</t>
  </si>
  <si>
    <t> Daza Opticare GmbH</t>
  </si>
  <si>
    <t>1560</t>
  </si>
  <si>
    <t>11 Academia Networks GmbH</t>
  </si>
  <si>
    <t>1648</t>
  </si>
  <si>
    <t>2D5SENS</t>
  </si>
  <si>
    <t>851</t>
  </si>
  <si>
    <t>2U GetSmarter (US) LLC</t>
  </si>
  <si>
    <t>2190</t>
  </si>
  <si>
    <t>A bis Z Gastro</t>
  </si>
  <si>
    <t>562</t>
  </si>
  <si>
    <t>A.A.A.T Cees de Boer</t>
  </si>
  <si>
    <t>1464</t>
  </si>
  <si>
    <t>A.T. Meissner &amp; Wolpert GmbH</t>
  </si>
  <si>
    <t>556</t>
  </si>
  <si>
    <t>a+p kieffer omnitec</t>
  </si>
  <si>
    <t>890</t>
  </si>
  <si>
    <t>AB Supplies</t>
  </si>
  <si>
    <t>877</t>
  </si>
  <si>
    <t>ACCA</t>
  </si>
  <si>
    <t>1435</t>
  </si>
  <si>
    <t>Accenture (Luxembourg) Sarl</t>
  </si>
  <si>
    <t>432</t>
  </si>
  <si>
    <t>AccuLux</t>
  </si>
  <si>
    <t>711</t>
  </si>
  <si>
    <t>ACI Deutschland</t>
  </si>
  <si>
    <t>483</t>
  </si>
  <si>
    <t>acpi - Academic Conferences and Publishing International</t>
  </si>
  <si>
    <t>726</t>
  </si>
  <si>
    <t>Actimovers</t>
  </si>
  <si>
    <t>392</t>
  </si>
  <si>
    <t>ADA Cosmetics International GmbH</t>
  </si>
  <si>
    <t>773</t>
  </si>
  <si>
    <t>Adams Contracts Consulting</t>
  </si>
  <si>
    <t>1266</t>
  </si>
  <si>
    <t>Adecco</t>
  </si>
  <si>
    <t>240</t>
  </si>
  <si>
    <t>Administration de l'Enregistrement et des Domaines</t>
  </si>
  <si>
    <t>1263</t>
  </si>
  <si>
    <t>Administration des Contributions Directes</t>
  </si>
  <si>
    <t>31</t>
  </si>
  <si>
    <t>AEFMA Deutschland e.V.</t>
  </si>
  <si>
    <t>1754</t>
  </si>
  <si>
    <t>AEM Luxembourg S.A.</t>
  </si>
  <si>
    <t>2112</t>
  </si>
  <si>
    <t>Aere-Resto Sarl</t>
  </si>
  <si>
    <t>809</t>
  </si>
  <si>
    <t>AFGAP</t>
  </si>
  <si>
    <t>408</t>
  </si>
  <si>
    <t>AFMA</t>
  </si>
  <si>
    <t>1197</t>
  </si>
  <si>
    <t>AG GRID LTD.</t>
  </si>
  <si>
    <t>2049</t>
  </si>
  <si>
    <t>AGEFI</t>
  </si>
  <si>
    <t>728</t>
  </si>
  <si>
    <t>Agence France Presse (AFP)</t>
  </si>
  <si>
    <t>1755</t>
  </si>
  <si>
    <t>AGS ZAGREB d.o.o</t>
  </si>
  <si>
    <t>1974</t>
  </si>
  <si>
    <t>AIG</t>
  </si>
  <si>
    <t>673</t>
  </si>
  <si>
    <t>AIIM International</t>
  </si>
  <si>
    <t>1917</t>
  </si>
  <si>
    <t>Ajilon Luxembourg</t>
  </si>
  <si>
    <t>203</t>
  </si>
  <si>
    <t>Akademie fuer RedenSchreiben</t>
  </si>
  <si>
    <t>2032</t>
  </si>
  <si>
    <t>AKLEBIA</t>
  </si>
  <si>
    <t>1280</t>
  </si>
  <si>
    <t>Aktieselskabet MOVE IT</t>
  </si>
  <si>
    <t>1968</t>
  </si>
  <si>
    <t>Albert Streff sarl</t>
  </si>
  <si>
    <t>291</t>
  </si>
  <si>
    <t>Aleandros Karagiannidis</t>
  </si>
  <si>
    <t>467</t>
  </si>
  <si>
    <t>Alejandro Reyes</t>
  </si>
  <si>
    <t>1102</t>
  </si>
  <si>
    <t>ALEO Sarl</t>
  </si>
  <si>
    <t>1714</t>
  </si>
  <si>
    <t>Alexander Ricks PLLC</t>
  </si>
  <si>
    <t>1987</t>
  </si>
  <si>
    <t>Alexander Smith Donaldson</t>
  </si>
  <si>
    <t>759</t>
  </si>
  <si>
    <t>Allen &amp; Overy (Belgium) LLP</t>
  </si>
  <si>
    <t>1655</t>
  </si>
  <si>
    <t>Allen &amp; Overy (France) LLP</t>
  </si>
  <si>
    <t>1695</t>
  </si>
  <si>
    <t>Allen &amp; Overy (UK) LLP</t>
  </si>
  <si>
    <t>509</t>
  </si>
  <si>
    <t>ALLIA Luxembourg</t>
  </si>
  <si>
    <t>559</t>
  </si>
  <si>
    <t>ALMUS (Assoc. Lux. Des Membres et Utilisateurs de SWIFT</t>
  </si>
  <si>
    <t>966</t>
  </si>
  <si>
    <t>Alpha Card CVBA-SCRL</t>
  </si>
  <si>
    <t>1037</t>
  </si>
  <si>
    <t>Alpha Financial Markets Consulting (Luxembourg) S.A.</t>
  </si>
  <si>
    <t>833</t>
  </si>
  <si>
    <t>Alphabet Luxembourg s.a.</t>
  </si>
  <si>
    <t>88</t>
  </si>
  <si>
    <t>Alpheus</t>
  </si>
  <si>
    <t>325</t>
  </si>
  <si>
    <t>ALS Customs Services SA</t>
  </si>
  <si>
    <t>2168</t>
  </si>
  <si>
    <t>Alten Belgium SRL</t>
  </si>
  <si>
    <t>2073</t>
  </si>
  <si>
    <t>Altia Systems, Inc.</t>
  </si>
  <si>
    <t>1092</t>
  </si>
  <si>
    <t>AlutaShop</t>
  </si>
  <si>
    <t>140</t>
  </si>
  <si>
    <t>Alvero</t>
  </si>
  <si>
    <t>755</t>
  </si>
  <si>
    <t>Am Klouschter Hotel Residence</t>
  </si>
  <si>
    <t>1488</t>
  </si>
  <si>
    <t>AMANOVA</t>
  </si>
  <si>
    <t>198</t>
  </si>
  <si>
    <t>American Chamber of Commerce in Luxembourg A.S.B.L.</t>
  </si>
  <si>
    <t>1872</t>
  </si>
  <si>
    <t>Amsterdam Institute of Finance</t>
  </si>
  <si>
    <t>721</t>
  </si>
  <si>
    <t>Analytics in HR B.V.</t>
  </si>
  <si>
    <t>2026</t>
  </si>
  <si>
    <t>Andrea Carriero</t>
  </si>
  <si>
    <t>1883</t>
  </si>
  <si>
    <t>ANGELS Event Agency</t>
  </si>
  <si>
    <t>974</t>
  </si>
  <si>
    <t>Aon belgium bvba</t>
  </si>
  <si>
    <t>236</t>
  </si>
  <si>
    <t>apex</t>
  </si>
  <si>
    <t>630</t>
  </si>
  <si>
    <t>Apleona</t>
  </si>
  <si>
    <t>1412</t>
  </si>
  <si>
    <t>Aprorest sarl</t>
  </si>
  <si>
    <t>1117</t>
  </si>
  <si>
    <t>ar</t>
  </si>
  <si>
    <t>1487</t>
  </si>
  <si>
    <t>Aramark</t>
  </si>
  <si>
    <t>1103</t>
  </si>
  <si>
    <t>Architecture Center Ltd</t>
  </si>
  <si>
    <t>1737</t>
  </si>
  <si>
    <t>Ares  IT Security j.d.o.o.</t>
  </si>
  <si>
    <t>1224</t>
  </si>
  <si>
    <t>ARHS Developments S.A.</t>
  </si>
  <si>
    <t>2062</t>
  </si>
  <si>
    <t>Ariane Chapelle Consulting ltd</t>
  </si>
  <si>
    <t>1134</t>
  </si>
  <si>
    <t>Arinex Pty Ltd</t>
  </si>
  <si>
    <t>1368</t>
  </si>
  <si>
    <t>Art Attitudes asbl</t>
  </si>
  <si>
    <t>1279</t>
  </si>
  <si>
    <t>ASEAN+3 MACROECONOMIC RESEARCH OFFICE</t>
  </si>
  <si>
    <t>1623</t>
  </si>
  <si>
    <t>Ashridge Executive and Organisational Development Ltd</t>
  </si>
  <si>
    <t>1722</t>
  </si>
  <si>
    <t>Asian Development Bank</t>
  </si>
  <si>
    <t>1057</t>
  </si>
  <si>
    <t>ASS Energietechnik GmbH</t>
  </si>
  <si>
    <t>2104</t>
  </si>
  <si>
    <t>Asseco Data Systems S.A.</t>
  </si>
  <si>
    <t>1411</t>
  </si>
  <si>
    <t>Association du personel de l'OECD</t>
  </si>
  <si>
    <t>1013</t>
  </si>
  <si>
    <t>ASX Benchmarks  (ex. ASX Operations)</t>
  </si>
  <si>
    <t>1296</t>
  </si>
  <si>
    <t>Atermon SA</t>
  </si>
  <si>
    <t>1088</t>
  </si>
  <si>
    <t>Athenaeum Intercontinental Athens</t>
  </si>
  <si>
    <t>1882</t>
  </si>
  <si>
    <t>ATKearney</t>
  </si>
  <si>
    <t>145</t>
  </si>
  <si>
    <t>Atos Luxembourg PSF S.A.</t>
  </si>
  <si>
    <t>1521</t>
  </si>
  <si>
    <t>Attica Movers SA</t>
  </si>
  <si>
    <t>1527</t>
  </si>
  <si>
    <t>audioLingua</t>
  </si>
  <si>
    <t>164</t>
  </si>
  <si>
    <t>Auswaertiges Amt</t>
  </si>
  <si>
    <t>1106</t>
  </si>
  <si>
    <t>Autocars Meyers SA</t>
  </si>
  <si>
    <t>1153</t>
  </si>
  <si>
    <t>Autocenter Goedert</t>
  </si>
  <si>
    <t>876</t>
  </si>
  <si>
    <t>Automat</t>
  </si>
  <si>
    <t>407</t>
  </si>
  <si>
    <t>AvePoint Deutschland GmbH</t>
  </si>
  <si>
    <t>958</t>
  </si>
  <si>
    <t>AWARTA NUSA DUA LUXURY VILLAS &amp; SPA</t>
  </si>
  <si>
    <t>1454</t>
  </si>
  <si>
    <t>AXA Assurances</t>
  </si>
  <si>
    <t>2177</t>
  </si>
  <si>
    <t>Axia Training Ltd</t>
  </si>
  <si>
    <t>1091</t>
  </si>
  <si>
    <t>B612 GmbH Konzeptionelles Gestalten</t>
  </si>
  <si>
    <t>1595</t>
  </si>
  <si>
    <t>Babylonia</t>
  </si>
  <si>
    <t>471</t>
  </si>
  <si>
    <t>Badenoch &amp; Clark</t>
  </si>
  <si>
    <t>565</t>
  </si>
  <si>
    <t>Baker &amp; McKenzie</t>
  </si>
  <si>
    <t>484</t>
  </si>
  <si>
    <t>Balkan Relocations d.o.o.</t>
  </si>
  <si>
    <t>2106</t>
  </si>
  <si>
    <t>bamolux sarl</t>
  </si>
  <si>
    <t>901</t>
  </si>
  <si>
    <t>Banca D'Italia</t>
  </si>
  <si>
    <t>771</t>
  </si>
  <si>
    <t>Banco Santander S.A.</t>
  </si>
  <si>
    <t>1799</t>
  </si>
  <si>
    <t>Banque Centrale du Luxembourg</t>
  </si>
  <si>
    <t>1698</t>
  </si>
  <si>
    <t>Banque Centrale du Luxembourg (EPCO)</t>
  </si>
  <si>
    <t>1990</t>
  </si>
  <si>
    <t>Banque de France</t>
  </si>
  <si>
    <t>1034</t>
  </si>
  <si>
    <t>Banque et Caisse D'Epargne de L'Etat Luxembourg</t>
  </si>
  <si>
    <t>632</t>
  </si>
  <si>
    <t>Barcelona Graduate School of Economics</t>
  </si>
  <si>
    <t>742</t>
  </si>
  <si>
    <t>Barclays PLC</t>
  </si>
  <si>
    <t>1497</t>
  </si>
  <si>
    <t>Bargello</t>
  </si>
  <si>
    <t>1369</t>
  </si>
  <si>
    <t>Barredo Catering</t>
  </si>
  <si>
    <t>1829</t>
  </si>
  <si>
    <t>BAUMHAUS GmbH, Raumbegruenung Pflanzenpflege</t>
  </si>
  <si>
    <t>2085</t>
  </si>
  <si>
    <t>BDO Advisory S.A.</t>
  </si>
  <si>
    <t>1979</t>
  </si>
  <si>
    <t>BDO Audit</t>
  </si>
  <si>
    <t>926</t>
  </si>
  <si>
    <t>BDO Tax &amp; Accounting</t>
  </si>
  <si>
    <t>397</t>
  </si>
  <si>
    <t>BDW VIP-Band e.K</t>
  </si>
  <si>
    <t>1246</t>
  </si>
  <si>
    <t>Beaumont</t>
  </si>
  <si>
    <t>924</t>
  </si>
  <si>
    <t>Beautifood (duplicate supplier)</t>
  </si>
  <si>
    <t>2198</t>
  </si>
  <si>
    <t>Beautifood srl</t>
  </si>
  <si>
    <t>2197</t>
  </si>
  <si>
    <t>Bechtle GmbH</t>
  </si>
  <si>
    <t>2029</t>
  </si>
  <si>
    <t>Belgium Visa Service</t>
  </si>
  <si>
    <t>1355</t>
  </si>
  <si>
    <t>BeLiminal LLP</t>
  </si>
  <si>
    <t>2118</t>
  </si>
  <si>
    <t>Benelux Taxi</t>
  </si>
  <si>
    <t>158</t>
  </si>
  <si>
    <t>Benne Fit UG</t>
  </si>
  <si>
    <t>1225</t>
  </si>
  <si>
    <t>Benny Andersen</t>
  </si>
  <si>
    <t>1800</t>
  </si>
  <si>
    <t>Berlitz Language and Business Training Sarl</t>
  </si>
  <si>
    <t>1303</t>
  </si>
  <si>
    <t>Bernard-Massard</t>
  </si>
  <si>
    <t>1264</t>
  </si>
  <si>
    <t>BEST TRAVEL (MAKRAS KONSTANTINOS)</t>
  </si>
  <si>
    <t>1765</t>
  </si>
  <si>
    <t>BewustBegeleiding B.V.</t>
  </si>
  <si>
    <t>2114</t>
  </si>
  <si>
    <t>BFOC AB</t>
  </si>
  <si>
    <t>663</t>
  </si>
  <si>
    <t>BigPulse Europe Limited</t>
  </si>
  <si>
    <t>1972</t>
  </si>
  <si>
    <t>Bilfinger HSG Facility Management S.à r.l.</t>
  </si>
  <si>
    <t>1143</t>
  </si>
  <si>
    <t>Bird &amp; Bird LLP</t>
  </si>
  <si>
    <t>923</t>
  </si>
  <si>
    <t>Bird &amp; Bird Szepietowski i wspolnicy spolka komandytowa</t>
  </si>
  <si>
    <t>1610</t>
  </si>
  <si>
    <t>Biztory Belgium NV</t>
  </si>
  <si>
    <t>1956</t>
  </si>
  <si>
    <t>Biztory NV</t>
  </si>
  <si>
    <t>1710</t>
  </si>
  <si>
    <t>BlackRock Investment Management</t>
  </si>
  <si>
    <t>2059</t>
  </si>
  <si>
    <t>Blake, Cassels &amp; Graydon LLP</t>
  </si>
  <si>
    <t>1234</t>
  </si>
  <si>
    <t>BLITZ Agency S. a.r.l.</t>
  </si>
  <si>
    <t>2109</t>
  </si>
  <si>
    <t>BLITZ AGENCY SaRL</t>
  </si>
  <si>
    <t>1413</t>
  </si>
  <si>
    <t>BLOMSTEIN Partnerschaft von Rechtsanwalten mbB</t>
  </si>
  <si>
    <t>1414</t>
  </si>
  <si>
    <t>Bloomberg Finance L.P.</t>
  </si>
  <si>
    <t>55</t>
  </si>
  <si>
    <t>BLUEmove</t>
  </si>
  <si>
    <t>986</t>
  </si>
  <si>
    <t>Blumenthal</t>
  </si>
  <si>
    <t>500</t>
  </si>
  <si>
    <t>BNP Paribas</t>
  </si>
  <si>
    <t>260</t>
  </si>
  <si>
    <t>Bobby Forshell Organisational Coaching AB</t>
  </si>
  <si>
    <t>1352</t>
  </si>
  <si>
    <t>Bobby Forshell Organisational Coaching AB Sweden</t>
  </si>
  <si>
    <t>1357</t>
  </si>
  <si>
    <t>Boettcher Datentechnik GmbH</t>
  </si>
  <si>
    <t>421</t>
  </si>
  <si>
    <t>Bollinger Roma s.p.a.</t>
  </si>
  <si>
    <t>320</t>
  </si>
  <si>
    <t>Boos KFE</t>
  </si>
  <si>
    <t>87</t>
  </si>
  <si>
    <t>Boos Sarl</t>
  </si>
  <si>
    <t>1373</t>
  </si>
  <si>
    <t>Borsen Zeitung</t>
  </si>
  <si>
    <t>2187</t>
  </si>
  <si>
    <t>Bortax Services</t>
  </si>
  <si>
    <t>786</t>
  </si>
  <si>
    <t>Bosse Design office culture</t>
  </si>
  <si>
    <t>1119</t>
  </si>
  <si>
    <t>Brasserie FLO</t>
  </si>
  <si>
    <t>311</t>
  </si>
  <si>
    <t>Brasserie Guillaume</t>
  </si>
  <si>
    <t>585</t>
  </si>
  <si>
    <t>Brasserie Mansfeld JMZ Luxembourg SA</t>
  </si>
  <si>
    <t>1519</t>
  </si>
  <si>
    <t>Brett House</t>
  </si>
  <si>
    <t>778</t>
  </si>
  <si>
    <t>Brightimage Solutions</t>
  </si>
  <si>
    <t>803</t>
  </si>
  <si>
    <t>Brink's Security Luxembourg S.A.</t>
  </si>
  <si>
    <t>366</t>
  </si>
  <si>
    <t>Broadcasting Center Europe</t>
  </si>
  <si>
    <t>510</t>
  </si>
  <si>
    <t>Brunswick Groupe GmbH</t>
  </si>
  <si>
    <t>61</t>
  </si>
  <si>
    <t>BSH Electromenagers SA</t>
  </si>
  <si>
    <t>1115</t>
  </si>
  <si>
    <t>Bueromarkt Boettcher AG</t>
  </si>
  <si>
    <t>446</t>
  </si>
  <si>
    <t>Bundesanstalt fuer Finanzdienstleistungsaufsicht</t>
  </si>
  <si>
    <t>332</t>
  </si>
  <si>
    <t>Bundesrepublik Deutschland Finanzagentur GmbH</t>
  </si>
  <si>
    <t>11</t>
  </si>
  <si>
    <t>Bureau Van Dijk</t>
  </si>
  <si>
    <t>267</t>
  </si>
  <si>
    <t>Buro Club Vendome</t>
  </si>
  <si>
    <t>1025</t>
  </si>
  <si>
    <t>BUROtrend</t>
  </si>
  <si>
    <t>355</t>
  </si>
  <si>
    <t>Business &amp; Decision</t>
  </si>
  <si>
    <t>168</t>
  </si>
  <si>
    <t>Business Entity Data B.V.</t>
  </si>
  <si>
    <t>934</t>
  </si>
  <si>
    <t>Business Integration Partners S.p.A.</t>
  </si>
  <si>
    <t>1462</t>
  </si>
  <si>
    <t>Business Management Consultants SPRL</t>
  </si>
  <si>
    <t>1804</t>
  </si>
  <si>
    <t>BV Promo</t>
  </si>
  <si>
    <t>32</t>
  </si>
  <si>
    <t>BVBA "TOUSAN</t>
  </si>
  <si>
    <t>256</t>
  </si>
  <si>
    <t>C + P Moebelsysteme GmbH &amp; Co KG</t>
  </si>
  <si>
    <t>731</t>
  </si>
  <si>
    <t>C.E.A. Wadia</t>
  </si>
  <si>
    <t>598</t>
  </si>
  <si>
    <t>Cammio B.V.</t>
  </si>
  <si>
    <t>674</t>
  </si>
  <si>
    <t>Canning School Limited</t>
  </si>
  <si>
    <t>695</t>
  </si>
  <si>
    <t>Capimvest S.A.</t>
  </si>
  <si>
    <t>2057</t>
  </si>
  <si>
    <t>CareersinAudit.com Ltd</t>
  </si>
  <si>
    <t>1079</t>
  </si>
  <si>
    <t>Carlson Wagon Lit Luxembourg</t>
  </si>
  <si>
    <t>1</t>
  </si>
  <si>
    <t>Carroll Communication Coaching Sarl</t>
  </si>
  <si>
    <t>763</t>
  </si>
  <si>
    <t>Carsten Eppendorfer</t>
  </si>
  <si>
    <t>1791</t>
  </si>
  <si>
    <t>Cascade Human Resources</t>
  </si>
  <si>
    <t>555</t>
  </si>
  <si>
    <t>Catalyst Europe AG</t>
  </si>
  <si>
    <t>1030</t>
  </si>
  <si>
    <t>CCP Software GmbH</t>
  </si>
  <si>
    <t>1220</t>
  </si>
  <si>
    <t>Celebrity International Movers</t>
  </si>
  <si>
    <t>815</t>
  </si>
  <si>
    <t>Center for Creative Leadership</t>
  </si>
  <si>
    <t>1571</t>
  </si>
  <si>
    <t>Center for Insprired Leadership</t>
  </si>
  <si>
    <t>155</t>
  </si>
  <si>
    <t>Central de Catering Servicatering SL</t>
  </si>
  <si>
    <t>1934</t>
  </si>
  <si>
    <t>Centre for Balanced Leadership</t>
  </si>
  <si>
    <t>1802</t>
  </si>
  <si>
    <t>Centre for Effective Dispute Resolution (CEDR)</t>
  </si>
  <si>
    <t>1556</t>
  </si>
  <si>
    <t>Centre for Financial Communication GmbH</t>
  </si>
  <si>
    <t>1803</t>
  </si>
  <si>
    <t>Centrenet / Ledscherp.nl</t>
  </si>
  <si>
    <t>720</t>
  </si>
  <si>
    <t>Centric First Aid Limited</t>
  </si>
  <si>
    <t>1180</t>
  </si>
  <si>
    <t>Centro de Estudios Monetarios y Financieros</t>
  </si>
  <si>
    <t>1452</t>
  </si>
  <si>
    <t>CEPR - Centre for Economic Policy Research</t>
  </si>
  <si>
    <t>557</t>
  </si>
  <si>
    <t>CEPS</t>
  </si>
  <si>
    <t>1832</t>
  </si>
  <si>
    <t>CFI Education</t>
  </si>
  <si>
    <t>1976</t>
  </si>
  <si>
    <t>CGI LUXEMBOURG SA</t>
  </si>
  <si>
    <t>2068</t>
  </si>
  <si>
    <t>Chambre de Commerce Luxembourg</t>
  </si>
  <si>
    <t>90</t>
  </si>
  <si>
    <t>Change Recruitment Group</t>
  </si>
  <si>
    <t>493</t>
  </si>
  <si>
    <t>Chapier office</t>
  </si>
  <si>
    <t>239</t>
  </si>
  <si>
    <t>Charles Oakes &amp; Co</t>
  </si>
  <si>
    <t>443</t>
  </si>
  <si>
    <t>Chartered Accountants Ireland</t>
  </si>
  <si>
    <t>1910</t>
  </si>
  <si>
    <t>Chartered Institute of Internal Auditors</t>
  </si>
  <si>
    <t>1179</t>
  </si>
  <si>
    <t>Chartis Europe SA</t>
  </si>
  <si>
    <t>54</t>
  </si>
  <si>
    <t>Chateau d Urspelt</t>
  </si>
  <si>
    <t>1347</t>
  </si>
  <si>
    <t>Chateau de Bourglinster</t>
  </si>
  <si>
    <t>1744</t>
  </si>
  <si>
    <t>Chateau de Schengen</t>
  </si>
  <si>
    <t>496</t>
  </si>
  <si>
    <t>Chateaud'eau</t>
  </si>
  <si>
    <t>127</t>
  </si>
  <si>
    <t>Chateauform</t>
  </si>
  <si>
    <t>147</t>
  </si>
  <si>
    <t>Chatham House Enterprises Ltd</t>
  </si>
  <si>
    <t>1632</t>
  </si>
  <si>
    <t>Chiggeri</t>
  </si>
  <si>
    <t>76</t>
  </si>
  <si>
    <t>Chocolate House Nathalie Bonn</t>
  </si>
  <si>
    <t>2025</t>
  </si>
  <si>
    <t>Cigna (Vanbreda)</t>
  </si>
  <si>
    <t>499</t>
  </si>
  <si>
    <t>CITI Bank N.A. London Branch</t>
  </si>
  <si>
    <t>205</t>
  </si>
  <si>
    <t>Cititec Associates Ltd</t>
  </si>
  <si>
    <t>1306</t>
  </si>
  <si>
    <t>City &amp; Financial Global Ltd</t>
  </si>
  <si>
    <t>1003</t>
  </si>
  <si>
    <t>Cityfront Group</t>
  </si>
  <si>
    <t>422</t>
  </si>
  <si>
    <t>CK (Charles Kieffer Group)</t>
  </si>
  <si>
    <t>1889</t>
  </si>
  <si>
    <t>CKS CONSULTING</t>
  </si>
  <si>
    <t>2064</t>
  </si>
  <si>
    <t>Claire Jones</t>
  </si>
  <si>
    <t>1924</t>
  </si>
  <si>
    <t>Claudio Borio</t>
  </si>
  <si>
    <t>1994</t>
  </si>
  <si>
    <t>Cle de Sol</t>
  </si>
  <si>
    <t>832</t>
  </si>
  <si>
    <t>Clearstream Banking Luxembourg S.A.</t>
  </si>
  <si>
    <t>762</t>
  </si>
  <si>
    <t>clearstream/Deutsche Boerse Group</t>
  </si>
  <si>
    <t>869</t>
  </si>
  <si>
    <t>Cleary Gottlieb Steen &amp; Hamilton LLP</t>
  </si>
  <si>
    <t>81</t>
  </si>
  <si>
    <t>Clifford Chance</t>
  </si>
  <si>
    <t>9</t>
  </si>
  <si>
    <t>Clifford Chance Europe LLP</t>
  </si>
  <si>
    <t>71</t>
  </si>
  <si>
    <t>Clifford Chance LLP GB</t>
  </si>
  <si>
    <t>907</t>
  </si>
  <si>
    <t>Clifford Chance LLP NL</t>
  </si>
  <si>
    <t>983</t>
  </si>
  <si>
    <t>Clifford Chance Partnergesellschaft</t>
  </si>
  <si>
    <t>528</t>
  </si>
  <si>
    <t>Climalux SA</t>
  </si>
  <si>
    <t>494</t>
  </si>
  <si>
    <t>Clinton R. Shiells</t>
  </si>
  <si>
    <t>2175</t>
  </si>
  <si>
    <t>CloudMargin Ltd</t>
  </si>
  <si>
    <t>1502</t>
  </si>
  <si>
    <t>CMB Systeme</t>
  </si>
  <si>
    <t>615</t>
  </si>
  <si>
    <t>CMC Partnership Global</t>
  </si>
  <si>
    <t>2120</t>
  </si>
  <si>
    <t>CO.G.I.TEL FORUM SARL</t>
  </si>
  <si>
    <t>1634</t>
  </si>
  <si>
    <t>Cocoon Hotel Belair</t>
  </si>
  <si>
    <t>878</t>
  </si>
  <si>
    <t>College of Europe</t>
  </si>
  <si>
    <t>1766</t>
  </si>
  <si>
    <t>Comma Group Limited</t>
  </si>
  <si>
    <t>1996</t>
  </si>
  <si>
    <t>Commha Consulting GmbH &amp; Co. KG</t>
  </si>
  <si>
    <t>2203</t>
  </si>
  <si>
    <t>Commission de Surveillance du Secteur Financier</t>
  </si>
  <si>
    <t>387</t>
  </si>
  <si>
    <t>Commission Europeenne</t>
  </si>
  <si>
    <t>749</t>
  </si>
  <si>
    <t>Commission Nationale pour la Protection des Donnees</t>
  </si>
  <si>
    <t>67</t>
  </si>
  <si>
    <t>Compernolle Consulting</t>
  </si>
  <si>
    <t>1036</t>
  </si>
  <si>
    <t>Composition SA</t>
  </si>
  <si>
    <t>1247</t>
  </si>
  <si>
    <t>Comptoir Electrotechnique Luxembourg.</t>
  </si>
  <si>
    <t>25</t>
  </si>
  <si>
    <t>CONCORDE International Freight Forwarders Ltd</t>
  </si>
  <si>
    <t>1874</t>
  </si>
  <si>
    <t>Conference management s.r.o.</t>
  </si>
  <si>
    <t>1821</t>
  </si>
  <si>
    <t>Confiserie Namur S.A.</t>
  </si>
  <si>
    <t>2132</t>
  </si>
  <si>
    <t>Congress Solutions International</t>
  </si>
  <si>
    <t>1561</t>
  </si>
  <si>
    <t>Congrex Switzerland</t>
  </si>
  <si>
    <t>1447</t>
  </si>
  <si>
    <t>Consensus Economics</t>
  </si>
  <si>
    <t>547</t>
  </si>
  <si>
    <t>Consulat de Russie</t>
  </si>
  <si>
    <t>78</t>
  </si>
  <si>
    <t>Control Risks</t>
  </si>
  <si>
    <t>885</t>
  </si>
  <si>
    <t>Control Risks UK</t>
  </si>
  <si>
    <t>1581</t>
  </si>
  <si>
    <t>Cotraco</t>
  </si>
  <si>
    <t>764</t>
  </si>
  <si>
    <t>Council of Europe</t>
  </si>
  <si>
    <t>1295</t>
  </si>
  <si>
    <t>Council of the European Union</t>
  </si>
  <si>
    <t>334</t>
  </si>
  <si>
    <t>Council on Foreign Relations</t>
  </si>
  <si>
    <t>1183</t>
  </si>
  <si>
    <t>cowriefinancial</t>
  </si>
  <si>
    <t>188</t>
  </si>
  <si>
    <t>CREI</t>
  </si>
  <si>
    <t>757</t>
  </si>
  <si>
    <t>CRPT - Central register for Patents and Trademarks</t>
  </si>
  <si>
    <t>113</t>
  </si>
  <si>
    <t>CTIE</t>
  </si>
  <si>
    <t>1887</t>
  </si>
  <si>
    <t>Cubiks</t>
  </si>
  <si>
    <t>705</t>
  </si>
  <si>
    <t>CWT Meetings &amp; Events</t>
  </si>
  <si>
    <t>840</t>
  </si>
  <si>
    <t>Cyril Pierre-Beausse</t>
  </si>
  <si>
    <t>967</t>
  </si>
  <si>
    <t>CZECH-IN s.r.o.</t>
  </si>
  <si>
    <t>1638</t>
  </si>
  <si>
    <t>D &amp; D Services</t>
  </si>
  <si>
    <t>335</t>
  </si>
  <si>
    <t>Dale Carnagie Training</t>
  </si>
  <si>
    <t>938</t>
  </si>
  <si>
    <t>Darwin Consultancy Services Ltd</t>
  </si>
  <si>
    <t>1771</t>
  </si>
  <si>
    <t>David Clutterbuck Partnership</t>
  </si>
  <si>
    <t>617</t>
  </si>
  <si>
    <t>DBL Products</t>
  </si>
  <si>
    <t>26</t>
  </si>
  <si>
    <t>DC Berlin Training GbR</t>
  </si>
  <si>
    <t>896</t>
  </si>
  <si>
    <t>de Feierlaescher sarl</t>
  </si>
  <si>
    <t>910</t>
  </si>
  <si>
    <t>De Lage Landen Leasing NV</t>
  </si>
  <si>
    <t>1198</t>
  </si>
  <si>
    <t>de Schnekert</t>
  </si>
  <si>
    <t>508</t>
  </si>
  <si>
    <t>Dealogic</t>
  </si>
  <si>
    <t>524</t>
  </si>
  <si>
    <t>DeepL GmbH</t>
  </si>
  <si>
    <t>2078</t>
  </si>
  <si>
    <t>Delaware Consulting CVBA</t>
  </si>
  <si>
    <t>1864</t>
  </si>
  <si>
    <t>Deloitte Tax &amp; Consulting</t>
  </si>
  <si>
    <t>566</t>
  </si>
  <si>
    <t>DeltaconX</t>
  </si>
  <si>
    <t>1998</t>
  </si>
  <si>
    <t>Dentons Europe LLP</t>
  </si>
  <si>
    <t>1609</t>
  </si>
  <si>
    <t>Dentons Luxembourg</t>
  </si>
  <si>
    <t>1381</t>
  </si>
  <si>
    <t>Dentons UK and Middle East LLP</t>
  </si>
  <si>
    <t>2033</t>
  </si>
  <si>
    <t>Derivatives Documentation</t>
  </si>
  <si>
    <t>999</t>
  </si>
  <si>
    <t>Deutsche Bank AG Frankfurt</t>
  </si>
  <si>
    <t>1360</t>
  </si>
  <si>
    <t>Deutsche Bank AG London</t>
  </si>
  <si>
    <t>62</t>
  </si>
  <si>
    <t>Deutsche Bank AG London - Trustee</t>
  </si>
  <si>
    <t>130</t>
  </si>
  <si>
    <t>Deutsche Bank Luxembourg SA</t>
  </si>
  <si>
    <t>167</t>
  </si>
  <si>
    <t>Deutsche Boerse AG</t>
  </si>
  <si>
    <t>918</t>
  </si>
  <si>
    <t>Deutsche Bundesbank</t>
  </si>
  <si>
    <t>123</t>
  </si>
  <si>
    <t>Deutsche Bundesbank / Clearstream</t>
  </si>
  <si>
    <t>159</t>
  </si>
  <si>
    <t>Deutsche International Trust Company N.V.</t>
  </si>
  <si>
    <t>982</t>
  </si>
  <si>
    <t>Deutsche Lufthansa AG</t>
  </si>
  <si>
    <t>2014</t>
  </si>
  <si>
    <t>Deutscher Ärzteverlag GmbH</t>
  </si>
  <si>
    <t>2012</t>
  </si>
  <si>
    <t>DEVESA JOSE ANIMATION</t>
  </si>
  <si>
    <t>1430</t>
  </si>
  <si>
    <t>Devoteam S.A.</t>
  </si>
  <si>
    <t>1230</t>
  </si>
  <si>
    <t>d-fine GmbH</t>
  </si>
  <si>
    <t>2072</t>
  </si>
  <si>
    <t>DHL Express (Luxembourg) S.A.</t>
  </si>
  <si>
    <t>142</t>
  </si>
  <si>
    <t>Die Starken Maenner</t>
  </si>
  <si>
    <t>1151</t>
  </si>
  <si>
    <t>Diepresse</t>
  </si>
  <si>
    <t>2158</t>
  </si>
  <si>
    <t>Dilligent HR Consultancy Limited</t>
  </si>
  <si>
    <t>1824</t>
  </si>
  <si>
    <t>DIW Berlin</t>
  </si>
  <si>
    <t>1683</t>
  </si>
  <si>
    <t>DKV Luxembourg</t>
  </si>
  <si>
    <t>29</t>
  </si>
  <si>
    <t>Doctor Verbeke Frederik</t>
  </si>
  <si>
    <t>2101</t>
  </si>
  <si>
    <t>Dom &amp; Co Publicite</t>
  </si>
  <si>
    <t>1166</t>
  </si>
  <si>
    <t>Donal Donovan</t>
  </si>
  <si>
    <t>2100</t>
  </si>
  <si>
    <t>DoubleTree by Hilton Luxembourg</t>
  </si>
  <si>
    <t>290</t>
  </si>
  <si>
    <t>Dr Marc Keipes</t>
  </si>
  <si>
    <t>1875</t>
  </si>
  <si>
    <t>Dr. Tony Klein</t>
  </si>
  <si>
    <t>1980</t>
  </si>
  <si>
    <t>Drees &amp; Sommer</t>
  </si>
  <si>
    <t>1167</t>
  </si>
  <si>
    <t>DSB Communication s.a.</t>
  </si>
  <si>
    <t>2010</t>
  </si>
  <si>
    <t>DT Textil Druck GmbH</t>
  </si>
  <si>
    <t>1474</t>
  </si>
  <si>
    <t>DTCC Data Repository(Ireland) PLC (DDRIE)</t>
  </si>
  <si>
    <t>1991</t>
  </si>
  <si>
    <t>DTZ</t>
  </si>
  <si>
    <t>481</t>
  </si>
  <si>
    <t>Duhamel Transport - Demenagement</t>
  </si>
  <si>
    <t>1658</t>
  </si>
  <si>
    <t>DUN &amp; BRADSTREET BELGIUM NV</t>
  </si>
  <si>
    <t>1838</t>
  </si>
  <si>
    <t>Dussmann Services s.a.r.l.</t>
  </si>
  <si>
    <t>1120</t>
  </si>
  <si>
    <t>DVFA GmbH</t>
  </si>
  <si>
    <t>2082</t>
  </si>
  <si>
    <t>DZ Bank AG</t>
  </si>
  <si>
    <t>1665</t>
  </si>
  <si>
    <t>East Coast Shipping, Inc.</t>
  </si>
  <si>
    <t>1154</t>
  </si>
  <si>
    <t>EBRC</t>
  </si>
  <si>
    <t>163</t>
  </si>
  <si>
    <t>Ecole Europeenne Luxembourg II</t>
  </si>
  <si>
    <t>426</t>
  </si>
  <si>
    <t>EcoMod</t>
  </si>
  <si>
    <t>1767</t>
  </si>
  <si>
    <t>eCornell</t>
  </si>
  <si>
    <t>1689</t>
  </si>
  <si>
    <t>EDV Beratung</t>
  </si>
  <si>
    <t>1466</t>
  </si>
  <si>
    <t>eFinancialCareers Ltd.</t>
  </si>
  <si>
    <t>75</t>
  </si>
  <si>
    <t>EFTA Court</t>
  </si>
  <si>
    <t>991</t>
  </si>
  <si>
    <t>Egon Zehnder Associates (International) SA</t>
  </si>
  <si>
    <t>1988</t>
  </si>
  <si>
    <t>EIPA - European Institute of Public Administration</t>
  </si>
  <si>
    <t>1397</t>
  </si>
  <si>
    <t>ELIOR LUXEMBOURG SARL</t>
  </si>
  <si>
    <t>2020</t>
  </si>
  <si>
    <t>Elsevier BV</t>
  </si>
  <si>
    <t>1318</t>
  </si>
  <si>
    <t>Elvinger,Hoss &amp; Prussen</t>
  </si>
  <si>
    <t>889</t>
  </si>
  <si>
    <t>EM Kantoorsystement bv</t>
  </si>
  <si>
    <t>818</t>
  </si>
  <si>
    <t>Embassy of Mongolia</t>
  </si>
  <si>
    <t>1116</t>
  </si>
  <si>
    <t>Embassy of the Republic of Azerbaijan</t>
  </si>
  <si>
    <t>1124</t>
  </si>
  <si>
    <t>EMERGYA DIGITAL SOLUTIONS SLU</t>
  </si>
  <si>
    <t>1830</t>
  </si>
  <si>
    <t>Emile Weber</t>
  </si>
  <si>
    <t>706</t>
  </si>
  <si>
    <t>Emotion event management SA</t>
  </si>
  <si>
    <t>1328</t>
  </si>
  <si>
    <t>Emtra Hygiene Service</t>
  </si>
  <si>
    <t>784</t>
  </si>
  <si>
    <t>ENT Buero- und Computersysteme Lux s.a.r.l.</t>
  </si>
  <si>
    <t>109</t>
  </si>
  <si>
    <t>Entente Touristique de la Moselle Luxembourgeoise (MS Princesse Marie Astrid)</t>
  </si>
  <si>
    <t>1794</t>
  </si>
  <si>
    <t>Environment Acoustics</t>
  </si>
  <si>
    <t>498</t>
  </si>
  <si>
    <t>EQS</t>
  </si>
  <si>
    <t>2199</t>
  </si>
  <si>
    <t>EQS Group A/S</t>
  </si>
  <si>
    <t>2043</t>
  </si>
  <si>
    <t>ERA / Europaeische Rechtsakademie</t>
  </si>
  <si>
    <t>551</t>
  </si>
  <si>
    <t>Ergonovo City GmbH</t>
  </si>
  <si>
    <t>1017</t>
  </si>
  <si>
    <t>Erich Keller AG</t>
  </si>
  <si>
    <t>316</t>
  </si>
  <si>
    <t>Erik de Haan</t>
  </si>
  <si>
    <t>774</t>
  </si>
  <si>
    <t>Ernst &amp; Young</t>
  </si>
  <si>
    <t>469</t>
  </si>
  <si>
    <t>Ernst &amp; Young Business Advisory Solutions</t>
  </si>
  <si>
    <t>1288</t>
  </si>
  <si>
    <t>Ernst &amp; Young LLP</t>
  </si>
  <si>
    <t>1301</t>
  </si>
  <si>
    <t>ERNSTER S.a r.l</t>
  </si>
  <si>
    <t>2154</t>
  </si>
  <si>
    <t>ESCAL Institute of Advanced Technologies</t>
  </si>
  <si>
    <t>1329</t>
  </si>
  <si>
    <t>ESCENT Luxembourg SA</t>
  </si>
  <si>
    <t>2071</t>
  </si>
  <si>
    <t>ESE International bv</t>
  </si>
  <si>
    <t>1486</t>
  </si>
  <si>
    <t>Esofac Luxembourg S.A.</t>
  </si>
  <si>
    <t>1676</t>
  </si>
  <si>
    <t>Estebaranz s.l.</t>
  </si>
  <si>
    <t>391</t>
  </si>
  <si>
    <t>EU Law Live  S.L.</t>
  </si>
  <si>
    <t>2094</t>
  </si>
  <si>
    <t>EUobserver.com ASBL</t>
  </si>
  <si>
    <t>1365</t>
  </si>
  <si>
    <t>Eureka Financial Ltd</t>
  </si>
  <si>
    <t>1346</t>
  </si>
  <si>
    <t>Eurest / Compass Group Belgilux</t>
  </si>
  <si>
    <t>470</t>
  </si>
  <si>
    <t>Eurex repo GmbH</t>
  </si>
  <si>
    <t>173</t>
  </si>
  <si>
    <t>EURL VISIONS'R</t>
  </si>
  <si>
    <t>270</t>
  </si>
  <si>
    <t>Euro Jobsites</t>
  </si>
  <si>
    <t>73</t>
  </si>
  <si>
    <t>Euroclear Bank SA/NV</t>
  </si>
  <si>
    <t>848</t>
  </si>
  <si>
    <t>eurodns</t>
  </si>
  <si>
    <t>132</t>
  </si>
  <si>
    <t>Euro-FH</t>
  </si>
  <si>
    <t>756</t>
  </si>
  <si>
    <t>EuroFM Network</t>
  </si>
  <si>
    <t>442</t>
  </si>
  <si>
    <t>Eurointelligence Limited</t>
  </si>
  <si>
    <t>682</t>
  </si>
  <si>
    <t>Euromoney Global Limited</t>
  </si>
  <si>
    <t>788</t>
  </si>
  <si>
    <t>Euromoney Trading Limited</t>
  </si>
  <si>
    <t>2122</t>
  </si>
  <si>
    <t>EUROMTS Limited</t>
  </si>
  <si>
    <t>1618</t>
  </si>
  <si>
    <t>European Academy for Taxes,Economy &amp; Law</t>
  </si>
  <si>
    <t>640</t>
  </si>
  <si>
    <t>European Bank for Reconstruction and Development</t>
  </si>
  <si>
    <t>850</t>
  </si>
  <si>
    <t>European Banking Institute</t>
  </si>
  <si>
    <t>1711</t>
  </si>
  <si>
    <t>European Central Bank</t>
  </si>
  <si>
    <t>254</t>
  </si>
  <si>
    <t>European Commission</t>
  </si>
  <si>
    <t>2023</t>
  </si>
  <si>
    <t>European court of auditors</t>
  </si>
  <si>
    <t>2084</t>
  </si>
  <si>
    <t>European Economic Association</t>
  </si>
  <si>
    <t>1900</t>
  </si>
  <si>
    <t>European Evaluation Society</t>
  </si>
  <si>
    <t>2061</t>
  </si>
  <si>
    <t>European Investment Bank</t>
  </si>
  <si>
    <t>58</t>
  </si>
  <si>
    <t>European Investment Bank/Employee Services</t>
  </si>
  <si>
    <t>129</t>
  </si>
  <si>
    <t>European Investment Fund</t>
  </si>
  <si>
    <t>428</t>
  </si>
  <si>
    <t>European Money Markets Institute</t>
  </si>
  <si>
    <t>875</t>
  </si>
  <si>
    <t>European Parliament</t>
  </si>
  <si>
    <t>594</t>
  </si>
  <si>
    <t>European Relocation Services S.A.</t>
  </si>
  <si>
    <t>5</t>
  </si>
  <si>
    <t>European School Luxembourg I</t>
  </si>
  <si>
    <t>1086</t>
  </si>
  <si>
    <t>European School Luxembourg II</t>
  </si>
  <si>
    <t>835</t>
  </si>
  <si>
    <t>European Sovereign Bond Investment Facility S.A.</t>
  </si>
  <si>
    <t>504</t>
  </si>
  <si>
    <t>European Sovereign Bond Protection Facility</t>
  </si>
  <si>
    <t>505</t>
  </si>
  <si>
    <t>European Speechwriter Network Ltd</t>
  </si>
  <si>
    <t>1098</t>
  </si>
  <si>
    <t>European Stability Mechanism</t>
  </si>
  <si>
    <t>1937</t>
  </si>
  <si>
    <t>European University for Economics and Management</t>
  </si>
  <si>
    <t>1039</t>
  </si>
  <si>
    <t>European University Institute</t>
  </si>
  <si>
    <t>1465</t>
  </si>
  <si>
    <t>Europrotocol Ltd.</t>
  </si>
  <si>
    <t>1240</t>
  </si>
  <si>
    <t>Euroscript</t>
  </si>
  <si>
    <t>466</t>
  </si>
  <si>
    <t>Eurostars - Hotel Das Letras</t>
  </si>
  <si>
    <t>681</t>
  </si>
  <si>
    <t>EuroWeek</t>
  </si>
  <si>
    <t>95</t>
  </si>
  <si>
    <t>EVCA</t>
  </si>
  <si>
    <t>886</t>
  </si>
  <si>
    <t>Evenses Enterntainment</t>
  </si>
  <si>
    <t>1029</t>
  </si>
  <si>
    <t>Event Production</t>
  </si>
  <si>
    <t>779</t>
  </si>
  <si>
    <t>Excellium Services SA</t>
  </si>
  <si>
    <t>2207</t>
  </si>
  <si>
    <t>Exercise3 Limited</t>
  </si>
  <si>
    <t>2093</t>
  </si>
  <si>
    <t>EXKI</t>
  </si>
  <si>
    <t>202</t>
  </si>
  <si>
    <t>ExploRaid</t>
  </si>
  <si>
    <t>825</t>
  </si>
  <si>
    <t>EYETECH Solutions</t>
  </si>
  <si>
    <t>1904</t>
  </si>
  <si>
    <t>F24 AG</t>
  </si>
  <si>
    <t>1456</t>
  </si>
  <si>
    <t>Faaltech Technologies Ltd</t>
  </si>
  <si>
    <t>2205</t>
  </si>
  <si>
    <t>Fabelhaft GbR</t>
  </si>
  <si>
    <t>1269</t>
  </si>
  <si>
    <t>faber digital solutions</t>
  </si>
  <si>
    <t>36</t>
  </si>
  <si>
    <t>Faber inter Law firm</t>
  </si>
  <si>
    <t>1473</t>
  </si>
  <si>
    <t>faber Print Services</t>
  </si>
  <si>
    <t>880</t>
  </si>
  <si>
    <t>Factiva Limited / Dow Jones</t>
  </si>
  <si>
    <t>415</t>
  </si>
  <si>
    <t>Falconbury Ltd</t>
  </si>
  <si>
    <t>1142</t>
  </si>
  <si>
    <t>Farheap GmbH (Overnight Prints)</t>
  </si>
  <si>
    <t>770</t>
  </si>
  <si>
    <t>Farvest S.à r.l.</t>
  </si>
  <si>
    <t>821</t>
  </si>
  <si>
    <t>Fast Lane Benelux B. V.</t>
  </si>
  <si>
    <t>2200</t>
  </si>
  <si>
    <t>FB Kennedy S.A.</t>
  </si>
  <si>
    <t>1687</t>
  </si>
  <si>
    <t>FEDELIA Sarl</t>
  </si>
  <si>
    <t>187</t>
  </si>
  <si>
    <t>Federal Reserve Bank of Atlanta</t>
  </si>
  <si>
    <t>1757</t>
  </si>
  <si>
    <t>Federal Reserve Bank of San Francisco</t>
  </si>
  <si>
    <t>1640</t>
  </si>
  <si>
    <t>Fichet Security Solutions Luxembourg</t>
  </si>
  <si>
    <t>1292</t>
  </si>
  <si>
    <t>Fichet Security Solutions Luxembourg- do not use</t>
  </si>
  <si>
    <t>1747</t>
  </si>
  <si>
    <t>Fiduciaire Jean-Marc Faber</t>
  </si>
  <si>
    <t>425</t>
  </si>
  <si>
    <t>Finanza Firenze</t>
  </si>
  <si>
    <t>971</t>
  </si>
  <si>
    <t>FINBOX SOLUTIONS</t>
  </si>
  <si>
    <t>1574</t>
  </si>
  <si>
    <t>First Derivatives plc</t>
  </si>
  <si>
    <t>710</t>
  </si>
  <si>
    <t>Fitch Training</t>
  </si>
  <si>
    <t>307</t>
  </si>
  <si>
    <t>FitchLearning</t>
  </si>
  <si>
    <t>939</t>
  </si>
  <si>
    <t>FitchRatings&amp;Solutions</t>
  </si>
  <si>
    <t>30</t>
  </si>
  <si>
    <t>FKPH</t>
  </si>
  <si>
    <t>1157</t>
  </si>
  <si>
    <t>Fleming Events s.r.o</t>
  </si>
  <si>
    <t>1160</t>
  </si>
  <si>
    <t>Flexidal bvba</t>
  </si>
  <si>
    <t>1185</t>
  </si>
  <si>
    <t>FNSP - Sciences Po</t>
  </si>
  <si>
    <t>1637</t>
  </si>
  <si>
    <t>FONDO LATINOAMERICANO DE RESERVAS</t>
  </si>
  <si>
    <t>1659</t>
  </si>
  <si>
    <t>Forum - Institut fuer Management GmbH</t>
  </si>
  <si>
    <t>746</t>
  </si>
  <si>
    <t>Forum on Institutional Law in International Organisations (FILIO)</t>
  </si>
  <si>
    <t>1734</t>
  </si>
  <si>
    <t>Francesco Bianchi</t>
  </si>
  <si>
    <t>2181</t>
  </si>
  <si>
    <t>Frankfurt School of Finance &amp; Management</t>
  </si>
  <si>
    <t>888</t>
  </si>
  <si>
    <t>Frankfurter Allgemeine</t>
  </si>
  <si>
    <t>465</t>
  </si>
  <si>
    <t>Frazer Jones</t>
  </si>
  <si>
    <t>894</t>
  </si>
  <si>
    <t>Freedom Solutions Group, LLC DBA Litera Microsystems</t>
  </si>
  <si>
    <t>1732</t>
  </si>
  <si>
    <t>Fresh Fruit sarl</t>
  </si>
  <si>
    <t>141</t>
  </si>
  <si>
    <t>Frontline Training Solutions Ltd</t>
  </si>
  <si>
    <t>1135</t>
  </si>
  <si>
    <t>FTSE International Limited</t>
  </si>
  <si>
    <t>1072</t>
  </si>
  <si>
    <t>Fujitsu Services Luxembourg</t>
  </si>
  <si>
    <t>70</t>
  </si>
  <si>
    <t>Fujitsu Technology Solutions SA</t>
  </si>
  <si>
    <t>2074</t>
  </si>
  <si>
    <t>Full Repertoire Ltd</t>
  </si>
  <si>
    <t>1749</t>
  </si>
  <si>
    <t>Funds Partnership</t>
  </si>
  <si>
    <t>292</t>
  </si>
  <si>
    <t>Future In Finance</t>
  </si>
  <si>
    <t>402</t>
  </si>
  <si>
    <t>futurestep</t>
  </si>
  <si>
    <t>282</t>
  </si>
  <si>
    <t>G. Tsokas s.a.</t>
  </si>
  <si>
    <t>970</t>
  </si>
  <si>
    <t>Gabinete do Ministro das Financas</t>
  </si>
  <si>
    <t>1669</t>
  </si>
  <si>
    <t>GAMS Software GmbH</t>
  </si>
  <si>
    <t>1570</t>
  </si>
  <si>
    <t>Gantner Electronic GmbH Deutschland</t>
  </si>
  <si>
    <t>1633</t>
  </si>
  <si>
    <t>Garage M. Losch S.e.c.s.</t>
  </si>
  <si>
    <t>1311</t>
  </si>
  <si>
    <t>Gartner Belgium BVBA</t>
  </si>
  <si>
    <t>280</t>
  </si>
  <si>
    <t>Gartner Belgium, Luxembourg Branch</t>
  </si>
  <si>
    <t>1196</t>
  </si>
  <si>
    <t>Geetha Ravindra (Speaker)</t>
  </si>
  <si>
    <t>1380</t>
  </si>
  <si>
    <t>General Secretariat of the Council</t>
  </si>
  <si>
    <t>1060</t>
  </si>
  <si>
    <t>Gesondheets Zentrum</t>
  </si>
  <si>
    <t>2038</t>
  </si>
  <si>
    <t>Getabstract</t>
  </si>
  <si>
    <t>854</t>
  </si>
  <si>
    <t>Getsmarter Online Ltd</t>
  </si>
  <si>
    <t>1692</t>
  </si>
  <si>
    <t>Getty Images International</t>
  </si>
  <si>
    <t>1097</t>
  </si>
  <si>
    <t>GFP Goldschmidt Fischer Schutz Projektmanagementgesellschaft mbH</t>
  </si>
  <si>
    <t>2096</t>
  </si>
  <si>
    <t>Gilbert</t>
  </si>
  <si>
    <t>538</t>
  </si>
  <si>
    <t>Ginge-Kerr Luxembourg</t>
  </si>
  <si>
    <t>244</t>
  </si>
  <si>
    <t>GLO Hotellit Oy</t>
  </si>
  <si>
    <t>1083</t>
  </si>
  <si>
    <t>Global Communications Development Network Sàrl</t>
  </si>
  <si>
    <t>855</t>
  </si>
  <si>
    <t>Global Leading Conference Kft.</t>
  </si>
  <si>
    <t>714</t>
  </si>
  <si>
    <t>Global NLP</t>
  </si>
  <si>
    <t>694</t>
  </si>
  <si>
    <t>GMS MANAGEMENT SOLUTION S.L.</t>
  </si>
  <si>
    <t>1418</t>
  </si>
  <si>
    <t>GMS Management Solutions Europe UK LTD</t>
  </si>
  <si>
    <t>1546</t>
  </si>
  <si>
    <t>GMS Management Solutions, S.L Spain</t>
  </si>
  <si>
    <t>1541</t>
  </si>
  <si>
    <t>GMV SOLUCIONES GLOBALES INTERNET, S.A.U.</t>
  </si>
  <si>
    <t>1628</t>
  </si>
  <si>
    <t>Go Gusto SARL</t>
  </si>
  <si>
    <t>1090</t>
  </si>
  <si>
    <t>Goldbach Kirchner</t>
  </si>
  <si>
    <t>364</t>
  </si>
  <si>
    <t>Gonville &amp; Caius College Cambridge</t>
  </si>
  <si>
    <t>1210</t>
  </si>
  <si>
    <t>GOPA Luxembourg S.a. r.l</t>
  </si>
  <si>
    <t>1881</t>
  </si>
  <si>
    <t>GQR Global Markets</t>
  </si>
  <si>
    <t>794</t>
  </si>
  <si>
    <t>Graduateland ApS</t>
  </si>
  <si>
    <t>2086</t>
  </si>
  <si>
    <t>Granicus LLC</t>
  </si>
  <si>
    <t>1913</t>
  </si>
  <si>
    <t xml:space="preserve">Grant Thornton Financial Services S.A. </t>
  </si>
  <si>
    <t>Grant Thornton Financial Advisory</t>
  </si>
  <si>
    <t>GRANT THORNTON ABAX CONSULTNG S.A.</t>
  </si>
  <si>
    <t>1470</t>
  </si>
  <si>
    <t>Gras Savoye Luxembourg</t>
  </si>
  <si>
    <t>108</t>
  </si>
  <si>
    <t>Great Place to Work Sarl</t>
  </si>
  <si>
    <t>1046</t>
  </si>
  <si>
    <t>Groh &amp; Thier GmbH</t>
  </si>
  <si>
    <t>670</t>
  </si>
  <si>
    <t>Groovy Gecko</t>
  </si>
  <si>
    <t>2036</t>
  </si>
  <si>
    <t>Groovy Gecko Limited</t>
  </si>
  <si>
    <t>2042</t>
  </si>
  <si>
    <t>Grospiron International</t>
  </si>
  <si>
    <t>172</t>
  </si>
  <si>
    <t>Group Larcier (Luxembourg)</t>
  </si>
  <si>
    <t>753</t>
  </si>
  <si>
    <t>Groupe Sharegate Inc.</t>
  </si>
  <si>
    <t>1507</t>
  </si>
  <si>
    <t>Groupe4S</t>
  </si>
  <si>
    <t>43</t>
  </si>
  <si>
    <t>Gruen &amp; Vogel GmbH</t>
  </si>
  <si>
    <t>1076</t>
  </si>
  <si>
    <t>Grun Signalisation</t>
  </si>
  <si>
    <t>22</t>
  </si>
  <si>
    <t>Guelff</t>
  </si>
  <si>
    <t>678</t>
  </si>
  <si>
    <t>Gunn Consultancy and Mediation Service Ltd</t>
  </si>
  <si>
    <t>1812</t>
  </si>
  <si>
    <t>GV2 Madrid Business SLU (The Principal Madrid)</t>
  </si>
  <si>
    <t>995</t>
  </si>
  <si>
    <t>Habran &amp; Jensen Consulting Sarl</t>
  </si>
  <si>
    <t>1826</t>
  </si>
  <si>
    <t>HACA Partners S.a.r.l.</t>
  </si>
  <si>
    <t>2053</t>
  </si>
  <si>
    <t>Halian SaRL</t>
  </si>
  <si>
    <t>2063</t>
  </si>
  <si>
    <t>hamm &amp; company GmbH</t>
  </si>
  <si>
    <t>661</t>
  </si>
  <si>
    <t>Handelsblatt</t>
  </si>
  <si>
    <t>688</t>
  </si>
  <si>
    <t>harmon.ie France</t>
  </si>
  <si>
    <t>1585</t>
  </si>
  <si>
    <t>Harvard Business Publishing</t>
  </si>
  <si>
    <t>1238</t>
  </si>
  <si>
    <t>Harvard Business School</t>
  </si>
  <si>
    <t>453</t>
  </si>
  <si>
    <t>Harvard Kennedy School</t>
  </si>
  <si>
    <t>819</t>
  </si>
  <si>
    <t>Harvard Law School</t>
  </si>
  <si>
    <t>782</t>
  </si>
  <si>
    <t>Hasenkamp</t>
  </si>
  <si>
    <t>1506</t>
  </si>
  <si>
    <t>Haver Analytics</t>
  </si>
  <si>
    <t>411</t>
  </si>
  <si>
    <t>Hawking LLC d/b/a Market News</t>
  </si>
  <si>
    <t>1782</t>
  </si>
  <si>
    <t>Hay Group bv</t>
  </si>
  <si>
    <t>791</t>
  </si>
  <si>
    <t>Helen Zeng</t>
  </si>
  <si>
    <t>1916</t>
  </si>
  <si>
    <t>Hendrik Backerra Consulting</t>
  </si>
  <si>
    <t>769</t>
  </si>
  <si>
    <t>Herman Miller Ltd</t>
  </si>
  <si>
    <t>354</t>
  </si>
  <si>
    <t>Het Financieele Dagblad</t>
  </si>
  <si>
    <t>468</t>
  </si>
  <si>
    <t>HIFI International</t>
  </si>
  <si>
    <t>388</t>
  </si>
  <si>
    <t>Hifylabs Zrt.</t>
  </si>
  <si>
    <t>2070</t>
  </si>
  <si>
    <t>Highflyers</t>
  </si>
  <si>
    <t>514</t>
  </si>
  <si>
    <t>Highsoft AS</t>
  </si>
  <si>
    <t>1905</t>
  </si>
  <si>
    <t>Hilger interfer S.A.</t>
  </si>
  <si>
    <t>1214</t>
  </si>
  <si>
    <t>Hilton Athens</t>
  </si>
  <si>
    <t>994</t>
  </si>
  <si>
    <t>Hilton Cyprus</t>
  </si>
  <si>
    <t>522</t>
  </si>
  <si>
    <t>Hilton Vienna</t>
  </si>
  <si>
    <t>1382</t>
  </si>
  <si>
    <t>HLPA SARL</t>
  </si>
  <si>
    <t>1537</t>
  </si>
  <si>
    <t>HOFSTEDE INSIGHTS OY</t>
  </si>
  <si>
    <t>1662</t>
  </si>
  <si>
    <t>Homburger AG</t>
  </si>
  <si>
    <t>873</t>
  </si>
  <si>
    <t>Home Office Design Ltd</t>
  </si>
  <si>
    <t>1480</t>
  </si>
  <si>
    <t>Hootsuite Inc.</t>
  </si>
  <si>
    <t>1538</t>
  </si>
  <si>
    <t>Hornbach Baumarkt Luxembourg</t>
  </si>
  <si>
    <t>1248</t>
  </si>
  <si>
    <t>Horsch Entsorgung</t>
  </si>
  <si>
    <t>626</t>
  </si>
  <si>
    <t>Host Spanish Operating TRS, S.L.</t>
  </si>
  <si>
    <t>587</t>
  </si>
  <si>
    <t>Hotel Avenida Palace</t>
  </si>
  <si>
    <t>944</t>
  </si>
  <si>
    <t>Hotel Grande Bretagne (Athens)</t>
  </si>
  <si>
    <t>1865</t>
  </si>
  <si>
    <t>Hotel Le Royal</t>
  </si>
  <si>
    <t>1743</t>
  </si>
  <si>
    <t>Hotel Maison FL</t>
  </si>
  <si>
    <t>1643</t>
  </si>
  <si>
    <t>Hotel Simon's Plaza</t>
  </si>
  <si>
    <t>1449</t>
  </si>
  <si>
    <t>Hotel Vauban S.A. King William II Apartments</t>
  </si>
  <si>
    <t>63</t>
  </si>
  <si>
    <t>Hotel Weingut Weis</t>
  </si>
  <si>
    <t>961</t>
  </si>
  <si>
    <t>House of Startups</t>
  </si>
  <si>
    <t>1691</t>
  </si>
  <si>
    <t>House of training</t>
  </si>
  <si>
    <t>1433</t>
  </si>
  <si>
    <t>HRD Italia SRL</t>
  </si>
  <si>
    <t>1508</t>
  </si>
  <si>
    <t>HRMC</t>
  </si>
  <si>
    <t>1726</t>
  </si>
  <si>
    <t>HRN Europe Kft</t>
  </si>
  <si>
    <t>1032</t>
  </si>
  <si>
    <t>HSBC Bank plc.</t>
  </si>
  <si>
    <t>111</t>
  </si>
  <si>
    <t>HSBC France</t>
  </si>
  <si>
    <t>330</t>
  </si>
  <si>
    <t>HTDS</t>
  </si>
  <si>
    <t>389</t>
  </si>
  <si>
    <t>Hyatt Place Washington DC/Georgetown/West End</t>
  </si>
  <si>
    <t>1121</t>
  </si>
  <si>
    <t>i4 Global Results Ltd</t>
  </si>
  <si>
    <t>2212</t>
  </si>
  <si>
    <t>Ian C Davies Conseil Inc.</t>
  </si>
  <si>
    <t>1774</t>
  </si>
  <si>
    <t>Iberian Legal Group s.l.</t>
  </si>
  <si>
    <t>1020</t>
  </si>
  <si>
    <t>IBT Consulting</t>
  </si>
  <si>
    <t>595</t>
  </si>
  <si>
    <t>ICAP Information Services Limited</t>
  </si>
  <si>
    <t>2209</t>
  </si>
  <si>
    <t>ICE Benchmark Administration Ltd.</t>
  </si>
  <si>
    <t>1281</t>
  </si>
  <si>
    <t>ICE Data Derivatives UK Limited</t>
  </si>
  <si>
    <t>2196</t>
  </si>
  <si>
    <t>Ice Data Indices, LLC</t>
  </si>
  <si>
    <t>1605</t>
  </si>
  <si>
    <t>ICF Next S.A</t>
  </si>
  <si>
    <t>2047</t>
  </si>
  <si>
    <t>ICMA</t>
  </si>
  <si>
    <t>1194</t>
  </si>
  <si>
    <t>ICMA Ltd.</t>
  </si>
  <si>
    <t>245</t>
  </si>
  <si>
    <t>Icon Group Innovations Ltd</t>
  </si>
  <si>
    <t>1544</t>
  </si>
  <si>
    <t>ictjob.lu - Succursale de Luxembourg</t>
  </si>
  <si>
    <t>1700</t>
  </si>
  <si>
    <t>IDCN - International Dual Career Network Association</t>
  </si>
  <si>
    <t>1627</t>
  </si>
  <si>
    <t>Identbase GmbH</t>
  </si>
  <si>
    <t>1372</t>
  </si>
  <si>
    <t>Identmarket</t>
  </si>
  <si>
    <t>433</t>
  </si>
  <si>
    <t>IFACI-Institut Francais de l' Audit et du Controle Internes</t>
  </si>
  <si>
    <t>950</t>
  </si>
  <si>
    <t>IFAD</t>
  </si>
  <si>
    <t>197</t>
  </si>
  <si>
    <t>ifb Lux S.A.</t>
  </si>
  <si>
    <t>2055</t>
  </si>
  <si>
    <t>IHS GLOBAL SAS</t>
  </si>
  <si>
    <t>2065</t>
  </si>
  <si>
    <t>IIA Luxembourg</t>
  </si>
  <si>
    <t>64</t>
  </si>
  <si>
    <t>IIR Ltd</t>
  </si>
  <si>
    <t>1822</t>
  </si>
  <si>
    <t>IIR/International Faculty of Finance</t>
  </si>
  <si>
    <t>599</t>
  </si>
  <si>
    <t>Ikea Arlon</t>
  </si>
  <si>
    <t>1169</t>
  </si>
  <si>
    <t>IKEA Mobel &amp; Einrichtungshaus Saarbrucken Saarlouis</t>
  </si>
  <si>
    <t>1170</t>
  </si>
  <si>
    <t>IMD - International Institute for Management Development</t>
  </si>
  <si>
    <t>1837</t>
  </si>
  <si>
    <t>Imedia s.a.r.l.</t>
  </si>
  <si>
    <t>444</t>
  </si>
  <si>
    <t>IMF - General Account</t>
  </si>
  <si>
    <t>928</t>
  </si>
  <si>
    <t>Imove International</t>
  </si>
  <si>
    <t>485</t>
  </si>
  <si>
    <t>Impact Factory Ltd</t>
  </si>
  <si>
    <t>925</t>
  </si>
  <si>
    <t>Impresa Publishing</t>
  </si>
  <si>
    <t>1024</t>
  </si>
  <si>
    <t>Imprimerie Centrale</t>
  </si>
  <si>
    <t>252</t>
  </si>
  <si>
    <t>IMPRIMERIE QUINTUS s. a r. l.</t>
  </si>
  <si>
    <t>2125</t>
  </si>
  <si>
    <t>imrim</t>
  </si>
  <si>
    <t>671</t>
  </si>
  <si>
    <t>IMS Inspiring More Sustainability</t>
  </si>
  <si>
    <t>1909</t>
  </si>
  <si>
    <t>IN, D.O.O.</t>
  </si>
  <si>
    <t>2105</t>
  </si>
  <si>
    <t>inbau</t>
  </si>
  <si>
    <t>748</t>
  </si>
  <si>
    <t>Incisivemedia</t>
  </si>
  <si>
    <t>416</t>
  </si>
  <si>
    <t>Indigo Park Luxembourg S.A.</t>
  </si>
  <si>
    <t>1679</t>
  </si>
  <si>
    <t>Indo German Consultancy Services Ltd</t>
  </si>
  <si>
    <t>1448</t>
  </si>
  <si>
    <t>Infeurope S.A.</t>
  </si>
  <si>
    <t>1524</t>
  </si>
  <si>
    <t>Infopro Digital Services Ltd</t>
  </si>
  <si>
    <t>1543</t>
  </si>
  <si>
    <t>Informa Connect Limited</t>
  </si>
  <si>
    <t>1973</t>
  </si>
  <si>
    <t>Informa Global Markets</t>
  </si>
  <si>
    <t>909</t>
  </si>
  <si>
    <t>informa professional academy</t>
  </si>
  <si>
    <t>537</t>
  </si>
  <si>
    <t>INIT AG</t>
  </si>
  <si>
    <t>1084</t>
  </si>
  <si>
    <t>Inner Latitude S.a.r.l.-S</t>
  </si>
  <si>
    <t>1827</t>
  </si>
  <si>
    <t>InnoClean</t>
  </si>
  <si>
    <t>745</t>
  </si>
  <si>
    <t>INOMICS GmbH</t>
  </si>
  <si>
    <t>2215</t>
  </si>
  <si>
    <t>INSEAD</t>
  </si>
  <si>
    <t>515</t>
  </si>
  <si>
    <t>Insight Technology Solutions Belgium</t>
  </si>
  <si>
    <t>319</t>
  </si>
  <si>
    <t>Institut du risk management</t>
  </si>
  <si>
    <t>2098</t>
  </si>
  <si>
    <t>Institut Luxembourgeois des Administrateurs</t>
  </si>
  <si>
    <t>1035</t>
  </si>
  <si>
    <t>Institute and Faculty of Actuaries</t>
  </si>
  <si>
    <t>927</t>
  </si>
  <si>
    <t>Institute for Comparative Public Law and International Law</t>
  </si>
  <si>
    <t>1294</t>
  </si>
  <si>
    <t>Institute for European Studies</t>
  </si>
  <si>
    <t>1902</t>
  </si>
  <si>
    <t>Institute for International Monetary Affaires</t>
  </si>
  <si>
    <t>899</t>
  </si>
  <si>
    <t>Institute of Internal Auditors</t>
  </si>
  <si>
    <t>892</t>
  </si>
  <si>
    <t>Institute of International Finance</t>
  </si>
  <si>
    <t>1049</t>
  </si>
  <si>
    <t>Institutional Investor LLC</t>
  </si>
  <si>
    <t>1361</t>
  </si>
  <si>
    <t>Interdean Internationale Speditionsgesellschaft</t>
  </si>
  <si>
    <t>898</t>
  </si>
  <si>
    <t>Interdean Relocation Service</t>
  </si>
  <si>
    <t>431</t>
  </si>
  <si>
    <t>Intergastro</t>
  </si>
  <si>
    <t>374</t>
  </si>
  <si>
    <t>Interleasing Luxembourg S.A.</t>
  </si>
  <si>
    <t>1884</t>
  </si>
  <si>
    <t>Internal Audit Academy</t>
  </si>
  <si>
    <t>2087</t>
  </si>
  <si>
    <t>International Capital Market Association</t>
  </si>
  <si>
    <t>703</t>
  </si>
  <si>
    <t>International Facility Management Association</t>
  </si>
  <si>
    <t>1600</t>
  </si>
  <si>
    <t>International Finance Corporation</t>
  </si>
  <si>
    <t>457</t>
  </si>
  <si>
    <t>International Institute of Administrative Sciences</t>
  </si>
  <si>
    <t>1113</t>
  </si>
  <si>
    <t>International Labour Organisation (ILO)</t>
  </si>
  <si>
    <t>1657</t>
  </si>
  <si>
    <t>International Management Forum B.V.</t>
  </si>
  <si>
    <t>1682</t>
  </si>
  <si>
    <t>INTERNATIONAL MONETARY FUND</t>
  </si>
  <si>
    <t>1461</t>
  </si>
  <si>
    <t>International Recruitment Group</t>
  </si>
  <si>
    <t>836</t>
  </si>
  <si>
    <t>International School of Communication</t>
  </si>
  <si>
    <t>2002</t>
  </si>
  <si>
    <t>International SOS</t>
  </si>
  <si>
    <t>937</t>
  </si>
  <si>
    <t>International Swaps and Derivatives Association, Inc</t>
  </si>
  <si>
    <t>1563</t>
  </si>
  <si>
    <t>International Training Centre of the ILO</t>
  </si>
  <si>
    <t>1250</t>
  </si>
  <si>
    <t>Internationaler Club Frankfurter Wirtschaftsjournalisten e.V.</t>
  </si>
  <si>
    <t>1558</t>
  </si>
  <si>
    <t>Intersider GmbH</t>
  </si>
  <si>
    <t>336</t>
  </si>
  <si>
    <t>Into VR &amp; Video GmbH</t>
  </si>
  <si>
    <t>2139</t>
  </si>
  <si>
    <t>Into VR and Video GmbH</t>
  </si>
  <si>
    <t>2124</t>
  </si>
  <si>
    <t>INTRALUX Locations</t>
  </si>
  <si>
    <t>614</t>
  </si>
  <si>
    <t>INTRASOFT International S.A.</t>
  </si>
  <si>
    <t>1526</t>
  </si>
  <si>
    <t>IntraWorlds GmbH</t>
  </si>
  <si>
    <t>807</t>
  </si>
  <si>
    <t>IRM UK</t>
  </si>
  <si>
    <t>1795</t>
  </si>
  <si>
    <t>ISACA</t>
  </si>
  <si>
    <t>1646</t>
  </si>
  <si>
    <t>IT-Haus GmbH</t>
  </si>
  <si>
    <t>826</t>
  </si>
  <si>
    <t>Ivo Guimaraes - Fotografia, Unipessoal, Lda.</t>
  </si>
  <si>
    <t>1219</t>
  </si>
  <si>
    <t>J. T. Ronnefeldt KG</t>
  </si>
  <si>
    <t>893</t>
  </si>
  <si>
    <t>Jacob Stock</t>
  </si>
  <si>
    <t>1927</t>
  </si>
  <si>
    <t>JBI Training</t>
  </si>
  <si>
    <t>2108</t>
  </si>
  <si>
    <t>JBS Executive Education Limited</t>
  </si>
  <si>
    <t>1455</t>
  </si>
  <si>
    <t>Jean-Pierre Ruelle PHOTOGRAPHE</t>
  </si>
  <si>
    <t>741</t>
  </si>
  <si>
    <t>Jens Schicke Fotojournalist</t>
  </si>
  <si>
    <t>1588</t>
  </si>
  <si>
    <t>Jeroen Dijsselbloem</t>
  </si>
  <si>
    <t>1531</t>
  </si>
  <si>
    <t>JetBrains N.V</t>
  </si>
  <si>
    <t>1624</t>
  </si>
  <si>
    <t>J-M Wagner / Singers Unlimited</t>
  </si>
  <si>
    <t>847</t>
  </si>
  <si>
    <t>Jobs 4 Professionals B.V.</t>
  </si>
  <si>
    <t>1075</t>
  </si>
  <si>
    <t>Jobs.lu</t>
  </si>
  <si>
    <t>959</t>
  </si>
  <si>
    <t>John Dodsworth</t>
  </si>
  <si>
    <t>2176</t>
  </si>
  <si>
    <t>John Hicklin</t>
  </si>
  <si>
    <t>1960</t>
  </si>
  <si>
    <t>John Taylor (Guest)</t>
  </si>
  <si>
    <t>1377</t>
  </si>
  <si>
    <t>Jolyn Jeelof</t>
  </si>
  <si>
    <t>1859</t>
  </si>
  <si>
    <t>Jones Lang LaSalle GmbH</t>
  </si>
  <si>
    <t>1055</t>
  </si>
  <si>
    <t>Journal Customer Services John Wiley &amp; Sons Ltd</t>
  </si>
  <si>
    <t>1291</t>
  </si>
  <si>
    <t>JP Garitte Consulting and Management Assurance S.A.</t>
  </si>
  <si>
    <t>2081</t>
  </si>
  <si>
    <t>JP Morgan</t>
  </si>
  <si>
    <t>38</t>
  </si>
  <si>
    <t>JP Morgan - Macona Event</t>
  </si>
  <si>
    <t>79</t>
  </si>
  <si>
    <t>JSTOR</t>
  </si>
  <si>
    <t>754</t>
  </si>
  <si>
    <t>Justlex S.E.C.S</t>
  </si>
  <si>
    <t>1863</t>
  </si>
  <si>
    <t>k&amp;f Furniture</t>
  </si>
  <si>
    <t>170</t>
  </si>
  <si>
    <t>Kadiev Global Ltd</t>
  </si>
  <si>
    <t>732</t>
  </si>
  <si>
    <t>KaffeeTechnik Seubert GbR</t>
  </si>
  <si>
    <t>395</t>
  </si>
  <si>
    <t>KaffisTuut S.a.r.l.</t>
  </si>
  <si>
    <t>10</t>
  </si>
  <si>
    <t>Kagisha Limited</t>
  </si>
  <si>
    <t>1341</t>
  </si>
  <si>
    <t>Kantar</t>
  </si>
  <si>
    <t>578</t>
  </si>
  <si>
    <t>KAPELLA</t>
  </si>
  <si>
    <t>490</t>
  </si>
  <si>
    <t>Kapture S.A.</t>
  </si>
  <si>
    <t>789</t>
  </si>
  <si>
    <t>Karatzas and Partners</t>
  </si>
  <si>
    <t>1162</t>
  </si>
  <si>
    <t>KELA RESEARCH AND STRATEGY LIMITED</t>
  </si>
  <si>
    <t>1460</t>
  </si>
  <si>
    <t>Kelly Services Luxembourg Sarl</t>
  </si>
  <si>
    <t>1999</t>
  </si>
  <si>
    <t>Kempinski Hotel Budapest Zrt.</t>
  </si>
  <si>
    <t>1674</t>
  </si>
  <si>
    <t>Kempinski Hotel River Park Bratislava</t>
  </si>
  <si>
    <t>977</t>
  </si>
  <si>
    <t>Key Job s.a.</t>
  </si>
  <si>
    <t>675</t>
  </si>
  <si>
    <t>Keystone Resilience Ltd</t>
  </si>
  <si>
    <t>574</t>
  </si>
  <si>
    <t>Kleiderbuegelprofi</t>
  </si>
  <si>
    <t>667</t>
  </si>
  <si>
    <t>KLG Eesti AS</t>
  </si>
  <si>
    <t>241</t>
  </si>
  <si>
    <t>K-LOG Lagersysteme GmbH</t>
  </si>
  <si>
    <t>2116</t>
  </si>
  <si>
    <t>Korn Ferry International Futurestep Belgium SPRL</t>
  </si>
  <si>
    <t>1270</t>
  </si>
  <si>
    <t>KornFerry Hay Group NV/SA</t>
  </si>
  <si>
    <t>1725</t>
  </si>
  <si>
    <t>KOUTROUMANOS VASILEIOS</t>
  </si>
  <si>
    <t>1453</t>
  </si>
  <si>
    <t>KPMG AG Wirtschaftspruefungsgesellschaft</t>
  </si>
  <si>
    <t>506</t>
  </si>
  <si>
    <t>KPMG Luxembourg SA</t>
  </si>
  <si>
    <t>143</t>
  </si>
  <si>
    <t>Kreativagentur Papagei Gmbh</t>
  </si>
  <si>
    <t>2185</t>
  </si>
  <si>
    <t>KUBIK KIRCHBERG S.A.</t>
  </si>
  <si>
    <t>327</t>
  </si>
  <si>
    <t>Kuiper</t>
  </si>
  <si>
    <t>866</t>
  </si>
  <si>
    <t>Kyriakides Georgopoulos Law Firm</t>
  </si>
  <si>
    <t>1067</t>
  </si>
  <si>
    <t>L.A.N.Z. GmbH</t>
  </si>
  <si>
    <t>932</t>
  </si>
  <si>
    <t>La Lorraine Luxembourg</t>
  </si>
  <si>
    <t>112</t>
  </si>
  <si>
    <t>LA LUXEMBOURGEOISE</t>
  </si>
  <si>
    <t>2178</t>
  </si>
  <si>
    <t>La Mirabelle</t>
  </si>
  <si>
    <t>128</t>
  </si>
  <si>
    <t>Laboratoires Reunis Luxembourg S.A.</t>
  </si>
  <si>
    <t>2051</t>
  </si>
  <si>
    <t>Lampertz</t>
  </si>
  <si>
    <t>1163</t>
  </si>
  <si>
    <t>Landesbank Baden-Wurttemberg</t>
  </si>
  <si>
    <t>1383</t>
  </si>
  <si>
    <t>Langner - Umzuege</t>
  </si>
  <si>
    <t>131</t>
  </si>
  <si>
    <t>Language Services Direct Limited</t>
  </si>
  <si>
    <t>2088</t>
  </si>
  <si>
    <t>Lara pace</t>
  </si>
  <si>
    <t>2110</t>
  </si>
  <si>
    <t>Larcier Distribution Services</t>
  </si>
  <si>
    <t>1286</t>
  </si>
  <si>
    <t>LastPass Ireland Limited</t>
  </si>
  <si>
    <t>2162</t>
  </si>
  <si>
    <t>Lazard &amp; Co Ltd</t>
  </si>
  <si>
    <t>637</t>
  </si>
  <si>
    <t>LC Academie S.A.</t>
  </si>
  <si>
    <t>1773</t>
  </si>
  <si>
    <t>Le Bouquet Garni</t>
  </si>
  <si>
    <t>1833</t>
  </si>
  <si>
    <t>Le Neumuenster</t>
  </si>
  <si>
    <t>199</t>
  </si>
  <si>
    <t>LEAN SIX SIGMA TRAINING LTD</t>
  </si>
  <si>
    <t>1408</t>
  </si>
  <si>
    <t>Lean4Health</t>
  </si>
  <si>
    <t>122</t>
  </si>
  <si>
    <t>Legere Hotel Luxembourg</t>
  </si>
  <si>
    <t>1422</t>
  </si>
  <si>
    <t>Lehberger Elektromaschinenbau GmbH</t>
  </si>
  <si>
    <t>2123</t>
  </si>
  <si>
    <t>Leibniz-lnstitut fur Wirtschaftsforschung e.V</t>
  </si>
  <si>
    <t>2079</t>
  </si>
  <si>
    <t>Leitconcept</t>
  </si>
  <si>
    <t>902</t>
  </si>
  <si>
    <t>Leo Thiex &amp; Cie S.a.r.l.</t>
  </si>
  <si>
    <t>1685</t>
  </si>
  <si>
    <t>Les Demenageurs Bretons</t>
  </si>
  <si>
    <t>1305</t>
  </si>
  <si>
    <t>Les Echos</t>
  </si>
  <si>
    <t>1308</t>
  </si>
  <si>
    <t>LesEchos</t>
  </si>
  <si>
    <t>434</t>
  </si>
  <si>
    <t>Leweck Sporthotel</t>
  </si>
  <si>
    <t>1896</t>
  </si>
  <si>
    <t>LexisNexis SA</t>
  </si>
  <si>
    <t>1249</t>
  </si>
  <si>
    <t>Lexxion Publisher</t>
  </si>
  <si>
    <t>1908</t>
  </si>
  <si>
    <t>LFMA - Luxembourg Financial Markets Association</t>
  </si>
  <si>
    <t>891</t>
  </si>
  <si>
    <t>Liberal International</t>
  </si>
  <si>
    <t>72</t>
  </si>
  <si>
    <t>Life Fitness Atlantic bv</t>
  </si>
  <si>
    <t>1133</t>
  </si>
  <si>
    <t>LightningTools LTD</t>
  </si>
  <si>
    <t>1702</t>
  </si>
  <si>
    <t>LILLA a.s.b.l.</t>
  </si>
  <si>
    <t>1813</t>
  </si>
  <si>
    <t>Linkedin Ireland</t>
  </si>
  <si>
    <t>990</t>
  </si>
  <si>
    <t>Linklaters LLP</t>
  </si>
  <si>
    <t>365</t>
  </si>
  <si>
    <t>Linklaters LLP (Lux)</t>
  </si>
  <si>
    <t>136</t>
  </si>
  <si>
    <t>Linklaters LLP (US)</t>
  </si>
  <si>
    <t>817</t>
  </si>
  <si>
    <t>Linklaters LLP Frankfurt</t>
  </si>
  <si>
    <t>357</t>
  </si>
  <si>
    <t>Loan Market Association</t>
  </si>
  <si>
    <t>1928</t>
  </si>
  <si>
    <t>Localyse Empowering Innovation</t>
  </si>
  <si>
    <t>2027</t>
  </si>
  <si>
    <t>LogMeIn Ireland Ltd.</t>
  </si>
  <si>
    <t>1673</t>
  </si>
  <si>
    <t>London Business School</t>
  </si>
  <si>
    <t>685</t>
  </si>
  <si>
    <t>London Corporate Training Limited</t>
  </si>
  <si>
    <t>1675</t>
  </si>
  <si>
    <t>London Financial Studies</t>
  </si>
  <si>
    <t>883</t>
  </si>
  <si>
    <t>London Financial Studies Limited</t>
  </si>
  <si>
    <t>1514</t>
  </si>
  <si>
    <t>London School of Economics and Political Science Executive Education Courses</t>
  </si>
  <si>
    <t>1596</t>
  </si>
  <si>
    <t>Losteria</t>
  </si>
  <si>
    <t>1873</t>
  </si>
  <si>
    <t>LSC - Luxembourg School for Commerce</t>
  </si>
  <si>
    <t>258</t>
  </si>
  <si>
    <t>Lucky Look GmbH</t>
  </si>
  <si>
    <t>1592</t>
  </si>
  <si>
    <t>LUDENDO COMMERCE</t>
  </si>
  <si>
    <t>2022</t>
  </si>
  <si>
    <t>Lutgen+Associes</t>
  </si>
  <si>
    <t>622</t>
  </si>
  <si>
    <t>Lux-Advisory Sarl</t>
  </si>
  <si>
    <t>1469</t>
  </si>
  <si>
    <t>Luxair</t>
  </si>
  <si>
    <t>1831</t>
  </si>
  <si>
    <t>luxcaddy.lu</t>
  </si>
  <si>
    <t>125</t>
  </si>
  <si>
    <t>LUX-CONNEX</t>
  </si>
  <si>
    <t>596</t>
  </si>
  <si>
    <t>LuxCSD S.A.</t>
  </si>
  <si>
    <t>1557</t>
  </si>
  <si>
    <t>Luxembourg City Tourist Office</t>
  </si>
  <si>
    <t>1498</t>
  </si>
  <si>
    <t>Luxembourg Congres</t>
  </si>
  <si>
    <t>1278</t>
  </si>
  <si>
    <t>Luxembourg Congres S.A</t>
  </si>
  <si>
    <t>2103</t>
  </si>
  <si>
    <t>Luxembourg Energy Office</t>
  </si>
  <si>
    <t>59</t>
  </si>
  <si>
    <t>Luxembourg School of Business a.s.b.l.</t>
  </si>
  <si>
    <t>1516</t>
  </si>
  <si>
    <t>Luxembourg Stock Exchange</t>
  </si>
  <si>
    <t>697</t>
  </si>
  <si>
    <t>LuxEnergie</t>
  </si>
  <si>
    <t>40</t>
  </si>
  <si>
    <t>Luxexpo</t>
  </si>
  <si>
    <t>502</t>
  </si>
  <si>
    <t>LUX-PAUL s.a.</t>
  </si>
  <si>
    <t>957</t>
  </si>
  <si>
    <t>LuxTrust S.A.</t>
  </si>
  <si>
    <t>44</t>
  </si>
  <si>
    <t>Lyreco</t>
  </si>
  <si>
    <t>464</t>
  </si>
  <si>
    <t>Lyreco Belgium N.V</t>
  </si>
  <si>
    <t>2143</t>
  </si>
  <si>
    <t>M.O.O.CON GmbH</t>
  </si>
  <si>
    <t>160</t>
  </si>
  <si>
    <t>MacroPolis Ltd</t>
  </si>
  <si>
    <t>1221</t>
  </si>
  <si>
    <t>Magazine Semper Luxembourg</t>
  </si>
  <si>
    <t>2009</t>
  </si>
  <si>
    <t>MAHO rive droit</t>
  </si>
  <si>
    <t>758</t>
  </si>
  <si>
    <t>Mailjet GmbH</t>
  </si>
  <si>
    <t>1995</t>
  </si>
  <si>
    <t>Maison Josy Juckem</t>
  </si>
  <si>
    <t>375</t>
  </si>
  <si>
    <t>Maître Cosita Delvaux</t>
  </si>
  <si>
    <t>849</t>
  </si>
  <si>
    <t>Management Events</t>
  </si>
  <si>
    <t>1626</t>
  </si>
  <si>
    <t>Management Mobility Consulting</t>
  </si>
  <si>
    <t>2091</t>
  </si>
  <si>
    <t>Mannelli</t>
  </si>
  <si>
    <t>1165</t>
  </si>
  <si>
    <t>Manpower</t>
  </si>
  <si>
    <t>243</t>
  </si>
  <si>
    <t>Manuela Klein Coaching and Training</t>
  </si>
  <si>
    <t>1503</t>
  </si>
  <si>
    <t>Marcotullio Receptions Luxembourg</t>
  </si>
  <si>
    <t>1047</t>
  </si>
  <si>
    <t>Marcus Evans</t>
  </si>
  <si>
    <t>1309</t>
  </si>
  <si>
    <t>Mario Gadet</t>
  </si>
  <si>
    <t>1856</t>
  </si>
  <si>
    <t>Markit Group Limited</t>
  </si>
  <si>
    <t>2157</t>
  </si>
  <si>
    <t>Marriott London Marble Arch</t>
  </si>
  <si>
    <t>2208</t>
  </si>
  <si>
    <t>Martin Muhleisen</t>
  </si>
  <si>
    <t>2163</t>
  </si>
  <si>
    <t>MartinJenkins and Associates Ltd</t>
  </si>
  <si>
    <t>1636</t>
  </si>
  <si>
    <t>MathWorks</t>
  </si>
  <si>
    <t>317</t>
  </si>
  <si>
    <t>Mauricio Skrycky Enriquez</t>
  </si>
  <si>
    <t>1423</t>
  </si>
  <si>
    <t>Maurizio Cortesi - Zegtraining</t>
  </si>
  <si>
    <t>1515</t>
  </si>
  <si>
    <t>Max Planck Institute</t>
  </si>
  <si>
    <t>1450</t>
  </si>
  <si>
    <t>May &amp; Company GmbH</t>
  </si>
  <si>
    <t>1661</t>
  </si>
  <si>
    <t>MayCoach &amp; Co</t>
  </si>
  <si>
    <t>852</t>
  </si>
  <si>
    <t>Mayersche</t>
  </si>
  <si>
    <t>683</t>
  </si>
  <si>
    <t>MCI Benelux</t>
  </si>
  <si>
    <t>750</t>
  </si>
  <si>
    <t>McKinsey</t>
  </si>
  <si>
    <t>1463</t>
  </si>
  <si>
    <t>MDF Training &amp; Consultancy BV</t>
  </si>
  <si>
    <t>1823</t>
  </si>
  <si>
    <t>Meditec</t>
  </si>
  <si>
    <t>719</t>
  </si>
  <si>
    <t>Mein Transkript</t>
  </si>
  <si>
    <t>1177</t>
  </si>
  <si>
    <t>MELIA HOTELS INTERNATIONAL S.A.</t>
  </si>
  <si>
    <t>1651</t>
  </si>
  <si>
    <t>Melia Luxembourg</t>
  </si>
  <si>
    <t>322</t>
  </si>
  <si>
    <t>Mercer Ltd</t>
  </si>
  <si>
    <t>1236</t>
  </si>
  <si>
    <t>Mercure Grand Hotel Alfa Luxembourg</t>
  </si>
  <si>
    <t>1031</t>
  </si>
  <si>
    <t>Merrill Lynch, Pierce, Fenner and Smith Incorporated</t>
  </si>
  <si>
    <t>1385</t>
  </si>
  <si>
    <t>Metronaps - SleepWing Ltd</t>
  </si>
  <si>
    <t>1149</t>
  </si>
  <si>
    <t>Metropolitan</t>
  </si>
  <si>
    <t>1982</t>
  </si>
  <si>
    <t>Miam Conseils</t>
  </si>
  <si>
    <t>643</t>
  </si>
  <si>
    <t>Miam Conseils s.a.</t>
  </si>
  <si>
    <t>1793</t>
  </si>
  <si>
    <t>Michael Heimerl GmbH</t>
  </si>
  <si>
    <t>1983</t>
  </si>
  <si>
    <t>Michel Greco</t>
  </si>
  <si>
    <t>409</t>
  </si>
  <si>
    <t>Microsoft Ireland Operations Limited</t>
  </si>
  <si>
    <t>2040</t>
  </si>
  <si>
    <t>Mike Williams (speaker)</t>
  </si>
  <si>
    <t>Miklos Vari</t>
  </si>
  <si>
    <t>Mila Quacquarelli (trainee)</t>
  </si>
  <si>
    <t>Millstein European Advisors LLP</t>
  </si>
  <si>
    <t>962</t>
  </si>
  <si>
    <t>Mind Gym Ltd</t>
  </si>
  <si>
    <t>810</t>
  </si>
  <si>
    <t>Ministerie van Financien</t>
  </si>
  <si>
    <t>1579</t>
  </si>
  <si>
    <t>MINISTRY FOR FINANCE AND EMPLOYMENT</t>
  </si>
  <si>
    <t>2113</t>
  </si>
  <si>
    <t>MIT Press Journals</t>
  </si>
  <si>
    <t>1293</t>
  </si>
  <si>
    <t>Mitra Shahbaz</t>
  </si>
  <si>
    <t>Mitu Gulati (Speaker)</t>
  </si>
  <si>
    <t>MJCABANEL</t>
  </si>
  <si>
    <t>704</t>
  </si>
  <si>
    <t>MLD Concept</t>
  </si>
  <si>
    <t>968</t>
  </si>
  <si>
    <t>Mobistar</t>
  </si>
  <si>
    <t>368</t>
  </si>
  <si>
    <t>MOHG Hotel (Paris) Sarl</t>
  </si>
  <si>
    <t>1645</t>
  </si>
  <si>
    <t>Monceau Ltd</t>
  </si>
  <si>
    <t>916</t>
  </si>
  <si>
    <t>monday.com Ltd</t>
  </si>
  <si>
    <t>2000</t>
  </si>
  <si>
    <t>Mondorf Domaine Thermal</t>
  </si>
  <si>
    <t>259</t>
  </si>
  <si>
    <t>MONECO spol.sor</t>
  </si>
  <si>
    <t>1019</t>
  </si>
  <si>
    <t>Monster LU</t>
  </si>
  <si>
    <t>77</t>
  </si>
  <si>
    <t>Moody's Analytics / Investors Service</t>
  </si>
  <si>
    <t>83</t>
  </si>
  <si>
    <t>Moody's Deutschland GmbH</t>
  </si>
  <si>
    <t>28</t>
  </si>
  <si>
    <t>Moosmueller &amp; Knauf</t>
  </si>
  <si>
    <t>321</t>
  </si>
  <si>
    <t>Moritz Kraemer (Speaker)</t>
  </si>
  <si>
    <t>Move the Elephant for Inclusiveness</t>
  </si>
  <si>
    <t>1446</t>
  </si>
  <si>
    <t>MoverManiac</t>
  </si>
  <si>
    <t>567</t>
  </si>
  <si>
    <t>MPK Luxembourg GmbH</t>
  </si>
  <si>
    <t>45</t>
  </si>
  <si>
    <t>Mr ADAM ENSOR</t>
  </si>
  <si>
    <t>Mr AITOR ERCE DOMINGUEZ</t>
  </si>
  <si>
    <t>Mr ALESSANDRO ROSSI</t>
  </si>
  <si>
    <t>Mr ALESSIO CARDELLA</t>
  </si>
  <si>
    <t>Mr ALEXANDER DEN RUIJTER</t>
  </si>
  <si>
    <t>Mr Anders Ebert-Petersen</t>
  </si>
  <si>
    <t>Mr ANDRE SOUSA</t>
  </si>
  <si>
    <t>Mr Andrea Covello</t>
  </si>
  <si>
    <t>Mr Andreas Juettner</t>
  </si>
  <si>
    <t>Mr ANDRES SUTT</t>
  </si>
  <si>
    <t>Mr Andres Williams</t>
  </si>
  <si>
    <t>Mr Angel Gavilan Gonzales</t>
  </si>
  <si>
    <t>Mr Antoine Bornert</t>
  </si>
  <si>
    <t>Mr ANTONELLO D'AGOSTINO</t>
  </si>
  <si>
    <t>Mr ARNE DE WAL</t>
  </si>
  <si>
    <t>Mr Baudilio Tome Muguruza (BoA)</t>
  </si>
  <si>
    <t>Mr Bogdan Calcan</t>
  </si>
  <si>
    <t>Mr BORIS JUNCKER</t>
  </si>
  <si>
    <t>Mr CARLOS MARTINS</t>
  </si>
  <si>
    <t>Mr CARMINE GABRIELE</t>
  </si>
  <si>
    <t>Mr CHRISTOPHE DA SILVA FERREIRA</t>
  </si>
  <si>
    <t>Mr CHRISTOPHE Jean Jacques FRANKEL</t>
  </si>
  <si>
    <t>Mr CHRISTOPHER COLLIE</t>
  </si>
  <si>
    <t>Mr Claude Lamotte</t>
  </si>
  <si>
    <t>Mr COSIMO PACCIANI</t>
  </si>
  <si>
    <t>Mr CRAIG HEPPLESTON</t>
  </si>
  <si>
    <t>Mr DANIELE TERMITE</t>
  </si>
  <si>
    <t>Mr DARAGH CLANCY</t>
  </si>
  <si>
    <t>Mr DAVID BLAZQUEZ VILA</t>
  </si>
  <si>
    <t>Mr DAVID EATOUGH</t>
  </si>
  <si>
    <t>Mr DAVID WALLACE</t>
  </si>
  <si>
    <t>Mr DIRK MEVIS</t>
  </si>
  <si>
    <t>Mr Douwe Miedema</t>
  </si>
  <si>
    <t>Mr DURMAZ BERBER</t>
  </si>
  <si>
    <t>Mr Dusan Kovacevic</t>
  </si>
  <si>
    <t>Mr EFSTATHIOS SOFOS</t>
  </si>
  <si>
    <t>Mr FABIO RUGGIERI</t>
  </si>
  <si>
    <t>Mr Fabrizio Leucari</t>
  </si>
  <si>
    <t>Mr Felix Grote</t>
  </si>
  <si>
    <t>Mr FERNANDO RODRIGUEZ MAGRO</t>
  </si>
  <si>
    <t>Mr FLORIAN ZINOECKER</t>
  </si>
  <si>
    <t>Mr FRAGKISKOS DASSYRAS</t>
  </si>
  <si>
    <t>Mr Frank Czichowski</t>
  </si>
  <si>
    <t>2008</t>
  </si>
  <si>
    <t>Mr GONG CHENG</t>
  </si>
  <si>
    <t>Mr GREGORY KNIPPING</t>
  </si>
  <si>
    <t>Mr Herbert Barth</t>
  </si>
  <si>
    <t>Mr HICHAM DAWAD</t>
  </si>
  <si>
    <t>Mr Ilan Lulu</t>
  </si>
  <si>
    <t>Mr IVAN SEMERDJIEV</t>
  </si>
  <si>
    <t>Mr Jacques Le Pape</t>
  </si>
  <si>
    <t>Mr JAROSLAV BARAN</t>
  </si>
  <si>
    <t>Mr JASPER AERTS</t>
  </si>
  <si>
    <t>Mr JEAN-BAPTISTE TAVERNIER</t>
  </si>
  <si>
    <t>Mr JOAO GIAO</t>
  </si>
  <si>
    <t>Mr John Goossen</t>
  </si>
  <si>
    <t>Mr JUAN ROJAS</t>
  </si>
  <si>
    <t>Mr JUERGEN KLAUS</t>
  </si>
  <si>
    <t>Mr KAI HENNEN</t>
  </si>
  <si>
    <t>Mr KALIN ANEV</t>
  </si>
  <si>
    <t>Mr KARI KORHONEN</t>
  </si>
  <si>
    <t>Mr KAROL SISKIND</t>
  </si>
  <si>
    <t>Mr KLAUS REGLING</t>
  </si>
  <si>
    <t>Mr LAURENT DAMBLAT</t>
  </si>
  <si>
    <t>Mr Lee Denver Chaplin</t>
  </si>
  <si>
    <t>Mr Loic Morand</t>
  </si>
  <si>
    <t>Mr Lorenzo Ricci</t>
  </si>
  <si>
    <t>Mr Loukas Alexandros Kaskarelis</t>
  </si>
  <si>
    <t>Mr LUIS REGO</t>
  </si>
  <si>
    <t>Mr MANUEL SCHOB</t>
  </si>
  <si>
    <t>Mr MARC DEMEY</t>
  </si>
  <si>
    <t>Mr MARCEL MOSCH</t>
  </si>
  <si>
    <t>Mr MARKUS SEWENIG</t>
  </si>
  <si>
    <t>Mr MARTIN HILLEBRAND</t>
  </si>
  <si>
    <t>Mr Mateusz Diakowski</t>
  </si>
  <si>
    <t>Mr MATJAZ SUSEC</t>
  </si>
  <si>
    <t>Mr Meletios Stavrakis</t>
  </si>
  <si>
    <t>Mr MICHAEL HESKETH</t>
  </si>
  <si>
    <t>Mr Michael Sket</t>
  </si>
  <si>
    <t>Mr Michail Ioannidis</t>
  </si>
  <si>
    <t>Mr NICOLA GIAMMARIOLI</t>
  </si>
  <si>
    <t>Mr OLIVIER PUJAL</t>
  </si>
  <si>
    <t>Mr PAOLO FIORETTI</t>
  </si>
  <si>
    <t>Mr Paul Whiteley</t>
  </si>
  <si>
    <t>Mr Pedro Bizarro</t>
  </si>
  <si>
    <t>Mr Pierre-Henri Floquet</t>
  </si>
  <si>
    <t>Mr PIET PHILIP CHRISTIANSEN</t>
  </si>
  <si>
    <t>Mr RALF JANSEN</t>
  </si>
  <si>
    <t>Mr Reda Machkour</t>
  </si>
  <si>
    <t>Mr RICARDO SANTOS</t>
  </si>
  <si>
    <t>Mr Rodney Holden</t>
  </si>
  <si>
    <t>Mr ROGELIO RODRIGUEZ</t>
  </si>
  <si>
    <t>Mr ROLAND STURM</t>
  </si>
  <si>
    <t>Mr ROLF STRAUCH</t>
  </si>
  <si>
    <t>Mr Rudolf Alvise Lennkh</t>
  </si>
  <si>
    <t>Mr Sebastien Levy</t>
  </si>
  <si>
    <t>Mr SHEETAL TEWARI</t>
  </si>
  <si>
    <t>Mr SIEGFRIED RUHL</t>
  </si>
  <si>
    <t>Mr Stefano Bertozzi</t>
  </si>
  <si>
    <t>Mr THOMAS PIES</t>
  </si>
  <si>
    <t>Mr THOMAS RITTER</t>
  </si>
  <si>
    <t>Mr ULRICH FORSTHOFF</t>
  </si>
  <si>
    <t>Mr VASCO CAMPILHO</t>
  </si>
  <si>
    <t>Mr VASCO CAMPILHO (OLD)</t>
  </si>
  <si>
    <t>Mr Vilem Valenta</t>
  </si>
  <si>
    <t>Mr Walter Kuechenberg</t>
  </si>
  <si>
    <t>Mr WIM VAN AKEN</t>
  </si>
  <si>
    <t>Mr WOLFGANG PROISSL</t>
  </si>
  <si>
    <t>Mr YASSER ABDOULAYE</t>
  </si>
  <si>
    <t>Mr Yerbolat Rakhmetov</t>
  </si>
  <si>
    <t>Mrs Aikaterini Arvaniti</t>
  </si>
  <si>
    <t>Mrs ANELIYA TILEVA</t>
  </si>
  <si>
    <t>Mrs Beatriz Urquizu Sancho</t>
  </si>
  <si>
    <t>Mrs Carolina Orgaz</t>
  </si>
  <si>
    <t>Mrs Denise FRANZEN</t>
  </si>
  <si>
    <t>Mrs Gertrude Tumpel-Gugerell</t>
  </si>
  <si>
    <t>Mrs JELENA ZELENOVIC</t>
  </si>
  <si>
    <t>Mrs Karmini Murthy</t>
  </si>
  <si>
    <t>Mrs MARIA ELENI ATHANASOPOULOU</t>
  </si>
  <si>
    <t>Mrs Maria Luisa Martos</t>
  </si>
  <si>
    <t>Ms AINO-KUKKA MELAMIES</t>
  </si>
  <si>
    <t>Ms Alexandra Cojocaru</t>
  </si>
  <si>
    <t>Ms ALEXANDRA POUNGOURA</t>
  </si>
  <si>
    <t>Ms Amandine Vautier</t>
  </si>
  <si>
    <t>Ms Andreja Lenarcic</t>
  </si>
  <si>
    <t>Ms ANNA DEMIDENOKA</t>
  </si>
  <si>
    <t>Ms ASTA VENCKUTE</t>
  </si>
  <si>
    <t>Ms BOHUSLAVA CERNOTOVA</t>
  </si>
  <si>
    <t>Ms DANIELA BANGURA-MUELLER</t>
  </si>
  <si>
    <t>Ms Deborah van Dam Sommers</t>
  </si>
  <si>
    <t>Ms Delphine de Guchteneere</t>
  </si>
  <si>
    <t>Ms Dimple B. Bhawsar</t>
  </si>
  <si>
    <t>Ms DOMINIKA MIERNIK</t>
  </si>
  <si>
    <t>Ms Dora Siklos</t>
  </si>
  <si>
    <t>Ms Erika Rhoades</t>
  </si>
  <si>
    <t>Ms EVA KINCZER</t>
  </si>
  <si>
    <t>Ms FRANCOISE BLONDEEL</t>
  </si>
  <si>
    <t>Ms GABRIELA OLARIU</t>
  </si>
  <si>
    <t>Ms Huguette Mbella</t>
  </si>
  <si>
    <t>Ms Jeni Pentesescu</t>
  </si>
  <si>
    <t>Ms Juliet Muchenje</t>
  </si>
  <si>
    <t>Ms KALLIRROI KAPETANAKI</t>
  </si>
  <si>
    <t>Ms KAROLINA MATUSZEWSKA-PAUTSCH</t>
  </si>
  <si>
    <t>Ms LAURE SALDUCCI</t>
  </si>
  <si>
    <t>Ms LETICIA LUCAS</t>
  </si>
  <si>
    <t>Ms LIE-TIN WU</t>
  </si>
  <si>
    <t>Ms MALINA CATOIU</t>
  </si>
  <si>
    <t>Ms MARIA KARTCHEVA</t>
  </si>
  <si>
    <t>Ms Marion Courbis</t>
  </si>
  <si>
    <t>Ms Marit Maidla</t>
  </si>
  <si>
    <t>Ms Mathilde Grandval</t>
  </si>
  <si>
    <t>Ms MELIA ELBERTSEN</t>
  </si>
  <si>
    <t>Ms NATASHA KETABCHI</t>
  </si>
  <si>
    <t>Ms Nathalie Lauer</t>
  </si>
  <si>
    <t>Ms NIYAT HABTEMARIAM</t>
  </si>
  <si>
    <t>Ms OANA PICINCU</t>
  </si>
  <si>
    <t>Ms Olga Francova</t>
  </si>
  <si>
    <t>Ms PANAYOTA BAKALAKOU</t>
  </si>
  <si>
    <t>Ms Patrizia Cocca</t>
  </si>
  <si>
    <t>Ms Saioa Armendariz</t>
  </si>
  <si>
    <t>Ms SARA ALONSO</t>
  </si>
  <si>
    <t>Ms SARAH CARRICK</t>
  </si>
  <si>
    <t>Ms SARAH VERMESEN</t>
  </si>
  <si>
    <t>Ms Sharman Esarey</t>
  </si>
  <si>
    <t>Ms SILKE WEISS</t>
  </si>
  <si>
    <t>Ms SOFIE DE BEULE ROLOFF</t>
  </si>
  <si>
    <t>Ms Terri Allington</t>
  </si>
  <si>
    <t>Ms VIRGINIE PIERRET</t>
  </si>
  <si>
    <t>Ms YANA DJONEVA</t>
  </si>
  <si>
    <t>MSCI Limited</t>
  </si>
  <si>
    <t>1686</t>
  </si>
  <si>
    <t>Mulberry Information Systems Limited</t>
  </si>
  <si>
    <t>1703</t>
  </si>
  <si>
    <t>MultiComSystem</t>
  </si>
  <si>
    <t>331</t>
  </si>
  <si>
    <t>Munster S.A.</t>
  </si>
  <si>
    <t>1027</t>
  </si>
  <si>
    <t>Murex</t>
  </si>
  <si>
    <t>Murex S.A.S.</t>
  </si>
  <si>
    <t>206</t>
  </si>
  <si>
    <t>N C Communications Limited</t>
  </si>
  <si>
    <t>568</t>
  </si>
  <si>
    <t>Nadin Moving and Storage</t>
  </si>
  <si>
    <t>277</t>
  </si>
  <si>
    <t>Nadine Hemmer</t>
  </si>
  <si>
    <t>1828</t>
  </si>
  <si>
    <t>Naomi Fink</t>
  </si>
  <si>
    <t>Narcissa Balta (Can)</t>
  </si>
  <si>
    <t>Natalia Hencsey</t>
  </si>
  <si>
    <t>Natalia Tassoni (CAN)</t>
  </si>
  <si>
    <t>Natalia Zakharina (Can)</t>
  </si>
  <si>
    <t>Natascha Valla</t>
  </si>
  <si>
    <t>Natasha Daruwala</t>
  </si>
  <si>
    <t>Nathalia Lorena Chaves Cardozo</t>
  </si>
  <si>
    <t>Nathalie Berfeld</t>
  </si>
  <si>
    <t>National Bureau of Economic Research</t>
  </si>
  <si>
    <t>536</t>
  </si>
  <si>
    <t>NATIXIS</t>
  </si>
  <si>
    <t>1587</t>
  </si>
  <si>
    <t>Neiburgs Hotel/Restaurant</t>
  </si>
  <si>
    <t>679</t>
  </si>
  <si>
    <t>Neil Jones</t>
  </si>
  <si>
    <t>Neimenster</t>
  </si>
  <si>
    <t>1147</t>
  </si>
  <si>
    <t>Nell Cady-Kruse</t>
  </si>
  <si>
    <t>Nells Park Hotel Trier</t>
  </si>
  <si>
    <t>1272</t>
  </si>
  <si>
    <t>Nertila Xhelili</t>
  </si>
  <si>
    <t>NET INFORMATIQUE SERVICES</t>
  </si>
  <si>
    <t>1731</t>
  </si>
  <si>
    <t>Netigate AB</t>
  </si>
  <si>
    <t>1739</t>
  </si>
  <si>
    <t>Network Research Belgium S.A. (NRB)</t>
  </si>
  <si>
    <t>2045</t>
  </si>
  <si>
    <t>Neuberg</t>
  </si>
  <si>
    <t>1148</t>
  </si>
  <si>
    <t>New Spirit Incentive &amp; Events sarl</t>
  </si>
  <si>
    <t>2213</t>
  </si>
  <si>
    <t>Nfoque Advisory Services, S.L.</t>
  </si>
  <si>
    <t>1468</t>
  </si>
  <si>
    <t>NHB Communications</t>
  </si>
  <si>
    <t>2111</t>
  </si>
  <si>
    <t>Nia Bevan</t>
  </si>
  <si>
    <t>Nicholas Hunter Ltd</t>
  </si>
  <si>
    <t>1326</t>
  </si>
  <si>
    <t>Nicolas De Saint Etienne</t>
  </si>
  <si>
    <t>Nicolas Pourbaix</t>
  </si>
  <si>
    <t>Nicolas Veron</t>
  </si>
  <si>
    <t>Nicoletta Silvia Mascher (CAN)</t>
  </si>
  <si>
    <t>Niels Bunemann</t>
  </si>
  <si>
    <t>Niels Lynggaard Hansen (CAN)</t>
  </si>
  <si>
    <t>Niklas Gaus</t>
  </si>
  <si>
    <t>1436</t>
  </si>
  <si>
    <t>Nikola Andrejevic (interim)</t>
  </si>
  <si>
    <t>Nikola Milushev</t>
  </si>
  <si>
    <t>Nikolaos Drousias (CAN)</t>
  </si>
  <si>
    <t>NIS - Euroclear</t>
  </si>
  <si>
    <t>1723</t>
  </si>
  <si>
    <t>Njoerdfood sarl</t>
  </si>
  <si>
    <t>882</t>
  </si>
  <si>
    <t>NobleProg Europe GmbH</t>
  </si>
  <si>
    <t>Noemie Lisack</t>
  </si>
  <si>
    <t>Nordlicht</t>
  </si>
  <si>
    <t>507</t>
  </si>
  <si>
    <t>Novotel Luxembourg Centre</t>
  </si>
  <si>
    <t>1801</t>
  </si>
  <si>
    <t>Novotel Luxembourg Kirchberg</t>
  </si>
  <si>
    <t>1258</t>
  </si>
  <si>
    <t>NOW.be</t>
  </si>
  <si>
    <t>1370</t>
  </si>
  <si>
    <t>Numen Europe S.A.</t>
  </si>
  <si>
    <t>1156</t>
  </si>
  <si>
    <t>O.E.C.D.</t>
  </si>
  <si>
    <t>744</t>
  </si>
  <si>
    <t>Oana Raluca Nechimis</t>
  </si>
  <si>
    <t>Oberweis Luxembourg</t>
  </si>
  <si>
    <t>4</t>
  </si>
  <si>
    <t>OECD</t>
  </si>
  <si>
    <t>115</t>
  </si>
  <si>
    <t>OECD Turpin Distribution Services Ltd</t>
  </si>
  <si>
    <t>1271</t>
  </si>
  <si>
    <t>Office des Publications de l'Union Europeenne</t>
  </si>
  <si>
    <t>1201</t>
  </si>
  <si>
    <t>Office of Comptroller and Auditor General</t>
  </si>
  <si>
    <t>Olga Croitorov</t>
  </si>
  <si>
    <t>Oliver Wuensch (Speaker)</t>
  </si>
  <si>
    <t>Oliver Wyman GmbH</t>
  </si>
  <si>
    <t>987</t>
  </si>
  <si>
    <t>Oliver Wyman Limited</t>
  </si>
  <si>
    <t>144</t>
  </si>
  <si>
    <t>Olivier Blanchard (speaker)</t>
  </si>
  <si>
    <t>Olivier Mader</t>
  </si>
  <si>
    <t>Olivier Wunsch (CAN)</t>
  </si>
  <si>
    <t>Olli Castren</t>
  </si>
  <si>
    <t>1517</t>
  </si>
  <si>
    <t>Omnisecurity s.a.</t>
  </si>
  <si>
    <t>1101</t>
  </si>
  <si>
    <t>ONET Luxembourg</t>
  </si>
  <si>
    <t>362</t>
  </si>
  <si>
    <t>Ophee Beinoglou</t>
  </si>
  <si>
    <t>420</t>
  </si>
  <si>
    <t>OPHELIS</t>
  </si>
  <si>
    <t>328</t>
  </si>
  <si>
    <t>OPP Limited</t>
  </si>
  <si>
    <t>535</t>
  </si>
  <si>
    <t>Optimissa Servicios Profesionales S.L.</t>
  </si>
  <si>
    <t>1520</t>
  </si>
  <si>
    <t>Oracle Luxembourg S.a.r.l.</t>
  </si>
  <si>
    <t>1080</t>
  </si>
  <si>
    <t>Oracle Luxembourg sarl</t>
  </si>
  <si>
    <t>Organisation Development &amp;Research Limited</t>
  </si>
  <si>
    <t>2075</t>
  </si>
  <si>
    <t>Orphee Beinoglou</t>
  </si>
  <si>
    <t>401</t>
  </si>
  <si>
    <t>Oslo Bors ASA</t>
  </si>
  <si>
    <t>1663</t>
  </si>
  <si>
    <t>Osney Media</t>
  </si>
  <si>
    <t>834</t>
  </si>
  <si>
    <t>Othmane Benkirane</t>
  </si>
  <si>
    <t>Otto Heinz</t>
  </si>
  <si>
    <t>Outperform</t>
  </si>
  <si>
    <t>1649</t>
  </si>
  <si>
    <t>Overbond Ltd</t>
  </si>
  <si>
    <t>1969</t>
  </si>
  <si>
    <t>Overnight Euro Express (OEE) Luxembourg S.a.r.l.</t>
  </si>
  <si>
    <t>1967</t>
  </si>
  <si>
    <t>Oxford Economics Ltd.</t>
  </si>
  <si>
    <t>2058</t>
  </si>
  <si>
    <t>Oxford University Press</t>
  </si>
  <si>
    <t>1728</t>
  </si>
  <si>
    <t>OXiane Luxembourg SARL</t>
  </si>
  <si>
    <t>2017</t>
  </si>
  <si>
    <t>P.A. Van Rooyen Top Movers</t>
  </si>
  <si>
    <t>1200</t>
  </si>
  <si>
    <t>P.J. Bye</t>
  </si>
  <si>
    <t>1798</t>
  </si>
  <si>
    <t>Pageant Media LTD</t>
  </si>
  <si>
    <t>1606</t>
  </si>
  <si>
    <t>Panagiotis Panagiotou</t>
  </si>
  <si>
    <t>Panagiotis Panagiotou (CAN)</t>
  </si>
  <si>
    <t>Paolo Volpi</t>
  </si>
  <si>
    <t>Park Hyatt Washington</t>
  </si>
  <si>
    <t>549</t>
  </si>
  <si>
    <t>Park Plaza Carree Hotel GmbH</t>
  </si>
  <si>
    <t>1173</t>
  </si>
  <si>
    <t>Partyrent Luxembourg</t>
  </si>
  <si>
    <t>491</t>
  </si>
  <si>
    <t>Pascal Carlucci (CAN)</t>
  </si>
  <si>
    <t>Pascal Limpens (Can)</t>
  </si>
  <si>
    <t>PATHOS LEADERSHIP SRL</t>
  </si>
  <si>
    <t>Pathways to Performance</t>
  </si>
  <si>
    <t>1586</t>
  </si>
  <si>
    <t>Patrick Krizan (Can)</t>
  </si>
  <si>
    <t>Paul Eischen</t>
  </si>
  <si>
    <t>1858</t>
  </si>
  <si>
    <t>Paul Kulkarni</t>
  </si>
  <si>
    <t>Paul v. Maur</t>
  </si>
  <si>
    <t>727</t>
  </si>
  <si>
    <t>Paul Wagner et Fils</t>
  </si>
  <si>
    <t>482</t>
  </si>
  <si>
    <t>Paul Wirtz</t>
  </si>
  <si>
    <t>1164</t>
  </si>
  <si>
    <t>Pauli Kariniemi</t>
  </si>
  <si>
    <t>Pavlos Petroulas</t>
  </si>
  <si>
    <t>Peakon ApS</t>
  </si>
  <si>
    <t>1981</t>
  </si>
  <si>
    <t>Pedro Cadarso Palomeque</t>
  </si>
  <si>
    <t>Peinture Phillipps Sarl</t>
  </si>
  <si>
    <t>838</t>
  </si>
  <si>
    <t>Peinture Phillips sarl</t>
  </si>
  <si>
    <t>1338</t>
  </si>
  <si>
    <t>PENTACLE LIMITED</t>
  </si>
  <si>
    <t>1591</t>
  </si>
  <si>
    <t>Pervenche Beres (speaker)</t>
  </si>
  <si>
    <t>Peter Walker</t>
  </si>
  <si>
    <t>Petros Migiakis</t>
  </si>
  <si>
    <t>PHARMACIE MERGEN-ROMMES</t>
  </si>
  <si>
    <t>2077</t>
  </si>
  <si>
    <t>Philharmonie</t>
  </si>
  <si>
    <t>808</t>
  </si>
  <si>
    <t>Philip Patrick Turner (Speaker)</t>
  </si>
  <si>
    <t>Philippa Sigl-Glöckner (speaker)</t>
  </si>
  <si>
    <t>Philippe VORREUX</t>
  </si>
  <si>
    <t>Pierre Ivanes (CAN)</t>
  </si>
  <si>
    <t>Pierre Krier</t>
  </si>
  <si>
    <t>1993</t>
  </si>
  <si>
    <t>Pierre Panchaud</t>
  </si>
  <si>
    <t>Pietro Moro</t>
  </si>
  <si>
    <t>Pietro Moro Can</t>
  </si>
  <si>
    <t>Pietro Reichlin</t>
  </si>
  <si>
    <t>Pilar Castrillo Carreira (Can)</t>
  </si>
  <si>
    <t>PIRI PIRI SARL</t>
  </si>
  <si>
    <t>2156</t>
  </si>
  <si>
    <t>Pirson, Patrick</t>
  </si>
  <si>
    <t>613</t>
  </si>
  <si>
    <t>Plafotech sa</t>
  </si>
  <si>
    <t>644</t>
  </si>
  <si>
    <t>Planon NV</t>
  </si>
  <si>
    <t>373</t>
  </si>
  <si>
    <t>Plat4mation</t>
  </si>
  <si>
    <t>1068</t>
  </si>
  <si>
    <t>Plaza Tour Eiffel</t>
  </si>
  <si>
    <t>1790</t>
  </si>
  <si>
    <t>PMA</t>
  </si>
  <si>
    <t>Pokitin</t>
  </si>
  <si>
    <t>723</t>
  </si>
  <si>
    <t>Police WPR Namur Section</t>
  </si>
  <si>
    <t>1697</t>
  </si>
  <si>
    <t>Politico Sprl</t>
  </si>
  <si>
    <t>171</t>
  </si>
  <si>
    <t>Polizeiautobahnstation</t>
  </si>
  <si>
    <t>1504</t>
  </si>
  <si>
    <t>Pose.Lu</t>
  </si>
  <si>
    <t>503</t>
  </si>
  <si>
    <t>Positive Purchasing Limited</t>
  </si>
  <si>
    <t>1862</t>
  </si>
  <si>
    <t>Post Luxembourg-Gestionnaire Central des Stocks</t>
  </si>
  <si>
    <t>1051</t>
  </si>
  <si>
    <t>Post Telecom PSF S.A.</t>
  </si>
  <si>
    <t>1267</t>
  </si>
  <si>
    <t>Post Telecom S.A.</t>
  </si>
  <si>
    <t>573</t>
  </si>
  <si>
    <t>Postes &amp; Telecommunications</t>
  </si>
  <si>
    <t>49</t>
  </si>
  <si>
    <t>Praesta</t>
  </si>
  <si>
    <t>668</t>
  </si>
  <si>
    <t>Prashant Gupta</t>
  </si>
  <si>
    <t>Pretty Forest</t>
  </si>
  <si>
    <t>1482</t>
  </si>
  <si>
    <t>PRI Association</t>
  </si>
  <si>
    <t>1940</t>
  </si>
  <si>
    <t>PriceWaterHouseCoopers</t>
  </si>
  <si>
    <t>21</t>
  </si>
  <si>
    <t>PricewaterhouseCoopers Academy</t>
  </si>
  <si>
    <t>419</t>
  </si>
  <si>
    <t>print solutions</t>
  </si>
  <si>
    <t>1033</t>
  </si>
  <si>
    <t>Print solutions S.a.r.l.</t>
  </si>
  <si>
    <t>1598</t>
  </si>
  <si>
    <t>Printatelier</t>
  </si>
  <si>
    <t>1161</t>
  </si>
  <si>
    <t>Procurato</t>
  </si>
  <si>
    <t>2056</t>
  </si>
  <si>
    <t>Prof Stavros Zenios</t>
  </si>
  <si>
    <t>Prof. Dr. Burkhard Hess</t>
  </si>
  <si>
    <t>820</t>
  </si>
  <si>
    <t>Prof. Dr. Christoph Ohler</t>
  </si>
  <si>
    <t>Prof. Philippe Martin</t>
  </si>
  <si>
    <t>Professional Risk Managers International Association</t>
  </si>
  <si>
    <t>1568</t>
  </si>
  <si>
    <t>PROFORM</t>
  </si>
  <si>
    <t>329</t>
  </si>
  <si>
    <t>Projekt Management Austria</t>
  </si>
  <si>
    <t>1898</t>
  </si>
  <si>
    <t>Promoculture</t>
  </si>
  <si>
    <t>230</t>
  </si>
  <si>
    <t>PROSYS S.A.</t>
  </si>
  <si>
    <t>46</t>
  </si>
  <si>
    <t>Protocolbureau B.V.</t>
  </si>
  <si>
    <t>1677</t>
  </si>
  <si>
    <t>Proyecto Especial Juntas de Gobernadores BM/FMI 2015</t>
  </si>
  <si>
    <t>992</t>
  </si>
  <si>
    <t>PT. Pacific Resorts Buana Indonesia</t>
  </si>
  <si>
    <t>1564</t>
  </si>
  <si>
    <t>PUTMAN LUX S.A</t>
  </si>
  <si>
    <t>2115</t>
  </si>
  <si>
    <t>PwC EU Services EESV</t>
  </si>
  <si>
    <t>2067</t>
  </si>
  <si>
    <t>QA Limited</t>
  </si>
  <si>
    <t>1781</t>
  </si>
  <si>
    <t>QCC Global Ltd</t>
  </si>
  <si>
    <t>1608</t>
  </si>
  <si>
    <t>QDATRAINING PLC</t>
  </si>
  <si>
    <t>1237</t>
  </si>
  <si>
    <t>QT SERVICE SRL</t>
  </si>
  <si>
    <t>1429</t>
  </si>
  <si>
    <t>Quadriga Media Berlin GmbH</t>
  </si>
  <si>
    <t>1839</t>
  </si>
  <si>
    <t>Qualia Consulting Sarl</t>
  </si>
  <si>
    <t>1888</t>
  </si>
  <si>
    <t>Qualtrics LLC</t>
  </si>
  <si>
    <t>2003</t>
  </si>
  <si>
    <t>Quintessence Consulting</t>
  </si>
  <si>
    <t>1866</t>
  </si>
  <si>
    <t>Quiver B.V.</t>
  </si>
  <si>
    <t>1475</t>
  </si>
  <si>
    <t>Rachel Calero</t>
  </si>
  <si>
    <t>Radisson Decapolis Miraflores</t>
  </si>
  <si>
    <t>1008</t>
  </si>
  <si>
    <t>Rafael Montano Arroyo</t>
  </si>
  <si>
    <t>Rafael Quina (CAN)</t>
  </si>
  <si>
    <t>Rainer Scheid</t>
  </si>
  <si>
    <t>1104</t>
  </si>
  <si>
    <t>Ramelsberger Medientrainerin</t>
  </si>
  <si>
    <t>1056</t>
  </si>
  <si>
    <t>randstad</t>
  </si>
  <si>
    <t>Randstad Interim SA</t>
  </si>
  <si>
    <t>126</t>
  </si>
  <si>
    <t>Randstad Recruitment &amp; Selection S.A.</t>
  </si>
  <si>
    <t>586</t>
  </si>
  <si>
    <t>RAPID COPY OFFICE RCO SA</t>
  </si>
  <si>
    <t>1590</t>
  </si>
  <si>
    <t>RapidMiner, Inc</t>
  </si>
  <si>
    <t>1992</t>
  </si>
  <si>
    <t>RavenPack International S.L. U .</t>
  </si>
  <si>
    <t>2044</t>
  </si>
  <si>
    <t>Reality Consult GmbH</t>
  </si>
  <si>
    <t>972</t>
  </si>
  <si>
    <t>REBEC Consulting SA</t>
  </si>
  <si>
    <t>2150</t>
  </si>
  <si>
    <t>Rebecca Christie</t>
  </si>
  <si>
    <t>1310</t>
  </si>
  <si>
    <t>Recette Centrale de l'Enregistrement et des Domaines</t>
  </si>
  <si>
    <t>497</t>
  </si>
  <si>
    <t>RED E4 Consulting Limited</t>
  </si>
  <si>
    <t>1513</t>
  </si>
  <si>
    <t>Red Jacket Events Limited</t>
  </si>
  <si>
    <t>1639</t>
  </si>
  <si>
    <t>Redeker Sellner Dahs</t>
  </si>
  <si>
    <t>242</t>
  </si>
  <si>
    <t>Reebou Work Wears S.A.R.L.</t>
  </si>
  <si>
    <t>1289</t>
  </si>
  <si>
    <t>Refinitiv</t>
  </si>
  <si>
    <t>27</t>
  </si>
  <si>
    <t>REFLEXION MEDICAL NETWORK SA</t>
  </si>
  <si>
    <t>2011</t>
  </si>
  <si>
    <t>REGIS-TR</t>
  </si>
  <si>
    <t>989</t>
  </si>
  <si>
    <t>Reinout de Bock</t>
  </si>
  <si>
    <t>Reka Print</t>
  </si>
  <si>
    <t>2030</t>
  </si>
  <si>
    <t>Relationship Management Consultants nv</t>
  </si>
  <si>
    <t>993</t>
  </si>
  <si>
    <t>Remondis Luxembourg</t>
  </si>
  <si>
    <t>1304</t>
  </si>
  <si>
    <t>Renat Sultanov</t>
  </si>
  <si>
    <t>Renato Delgado</t>
  </si>
  <si>
    <t>Restaurant Clairefontaine</t>
  </si>
  <si>
    <t>60</t>
  </si>
  <si>
    <t>Restaurant Gong Trey sarl</t>
  </si>
  <si>
    <t>53</t>
  </si>
  <si>
    <t>Ricardo Sousa</t>
  </si>
  <si>
    <t>Richard Eames</t>
  </si>
  <si>
    <t>RICS INTERNATIONAL LIMITED</t>
  </si>
  <si>
    <t>1629</t>
  </si>
  <si>
    <t>Ridgewells Inc</t>
  </si>
  <si>
    <t>1879</t>
  </si>
  <si>
    <t>Right Associates Ltd</t>
  </si>
  <si>
    <t>1226</t>
  </si>
  <si>
    <t>Rimtautas Bartkus</t>
  </si>
  <si>
    <t>Risk Control Limited</t>
  </si>
  <si>
    <t>2060</t>
  </si>
  <si>
    <t>Risk Dynamics sprl</t>
  </si>
  <si>
    <t>1410</t>
  </si>
  <si>
    <t>RISKBalance GmbH and CO. KG</t>
  </si>
  <si>
    <t>1342</t>
  </si>
  <si>
    <t>RITME Informatique</t>
  </si>
  <si>
    <t>41</t>
  </si>
  <si>
    <t>RITME -SPRL</t>
  </si>
  <si>
    <t>1229</t>
  </si>
  <si>
    <t>Ritva Reinikka (evaluator)</t>
  </si>
  <si>
    <t>Robert Blotevogel (Can)</t>
  </si>
  <si>
    <t>Robert Kraemer</t>
  </si>
  <si>
    <t>Robert Lindner GmbH</t>
  </si>
  <si>
    <t>Robert Patalano (CAN)</t>
  </si>
  <si>
    <t>Robin Jensen</t>
  </si>
  <si>
    <t>1471</t>
  </si>
  <si>
    <t>Robin Wolfson Agency, LLC</t>
  </si>
  <si>
    <t>2127</t>
  </si>
  <si>
    <t>Roel Beetsma (Speaker)</t>
  </si>
  <si>
    <t>Rogue Fitness Europe Oy</t>
  </si>
  <si>
    <t>1171</t>
  </si>
  <si>
    <t>Rokhaya Ndiaye</t>
  </si>
  <si>
    <t>Roko Pedisic (CAN)</t>
  </si>
  <si>
    <t>ROTARACT CLUB LUXEMBOURG</t>
  </si>
  <si>
    <t>1277</t>
  </si>
  <si>
    <t>Rote Radler Birg &amp; Birg OHG</t>
  </si>
  <si>
    <t>2097</t>
  </si>
  <si>
    <t>Rothschild</t>
  </si>
  <si>
    <t>135</t>
  </si>
  <si>
    <t>Rotterdam School of Management</t>
  </si>
  <si>
    <t>1485</t>
  </si>
  <si>
    <t>Roy Lewis</t>
  </si>
  <si>
    <t>Roya Sangi (Secondee)</t>
  </si>
  <si>
    <t>Ruby International Consultants</t>
  </si>
  <si>
    <t>2210</t>
  </si>
  <si>
    <t>Runtime Collective Ltd t/a Brandwatch</t>
  </si>
  <si>
    <t>2083</t>
  </si>
  <si>
    <t>Russell Reynolds Associates CV</t>
  </si>
  <si>
    <t>1792</t>
  </si>
  <si>
    <t>Ruth Dominguez (Internship)</t>
  </si>
  <si>
    <t>RYDGES</t>
  </si>
  <si>
    <t>379</t>
  </si>
  <si>
    <t>Ryszard de Groot</t>
  </si>
  <si>
    <t>S&amp;C Avocats Associés A.A.R.P.L.</t>
  </si>
  <si>
    <t>2130</t>
  </si>
  <si>
    <t>S&amp;P Global Market Intelligence LLC</t>
  </si>
  <si>
    <t>2046</t>
  </si>
  <si>
    <t>S&amp;P Global Ratings</t>
  </si>
  <si>
    <t>1958</t>
  </si>
  <si>
    <t>S.L.A. SA</t>
  </si>
  <si>
    <t>1630</t>
  </si>
  <si>
    <t>S.W.I.F.T. SC</t>
  </si>
  <si>
    <t>23</t>
  </si>
  <si>
    <t>S.W.I.F.T. SCRL</t>
  </si>
  <si>
    <t>SACEM Luxembourg</t>
  </si>
  <si>
    <t>1481</t>
  </si>
  <si>
    <t>Sacha Steffen</t>
  </si>
  <si>
    <t>Sage Travel Consulting Limited</t>
  </si>
  <si>
    <t>1439</t>
  </si>
  <si>
    <t>Sapori Italian Food</t>
  </si>
  <si>
    <t>153</t>
  </si>
  <si>
    <t>Sarah Bell</t>
  </si>
  <si>
    <t>Sardari Group Inc.</t>
  </si>
  <si>
    <t>1218</t>
  </si>
  <si>
    <t>Sarwar Khan</t>
  </si>
  <si>
    <t>Schaefer Shop/change of Name + acc/ see nr 895</t>
  </si>
  <si>
    <t>47</t>
  </si>
  <si>
    <t>Schertz Bergmann</t>
  </si>
  <si>
    <t>Schindler SARL</t>
  </si>
  <si>
    <t>358</t>
  </si>
  <si>
    <t>Schmidtploecker Planungsges. mbH</t>
  </si>
  <si>
    <t>897</t>
  </si>
  <si>
    <t>Schneider Einrichtungen</t>
  </si>
  <si>
    <t>865</t>
  </si>
  <si>
    <t>Schouten &amp; Nelissen Nederland B.V.</t>
  </si>
  <si>
    <t>1073</t>
  </si>
  <si>
    <t>Schreinerei Daniels</t>
  </si>
  <si>
    <t>1184</t>
  </si>
  <si>
    <t>Schreinerei Schilling</t>
  </si>
  <si>
    <t>1096</t>
  </si>
  <si>
    <t>Schumacher Cargo Logistics</t>
  </si>
  <si>
    <t>1816</t>
  </si>
  <si>
    <t>Search</t>
  </si>
  <si>
    <t>702</t>
  </si>
  <si>
    <t>Sebastien Haus</t>
  </si>
  <si>
    <t>Sebnem Kalemil-Ozcan</t>
  </si>
  <si>
    <t>Seitz Rechtsanwalte Steuerberater Partnerschaftsgesellschaft mbB</t>
  </si>
  <si>
    <t>1316</t>
  </si>
  <si>
    <t>Selma Bukvic (speaker)</t>
  </si>
  <si>
    <t>SeQ</t>
  </si>
  <si>
    <t>941</t>
  </si>
  <si>
    <t>Seraina Gruenewald</t>
  </si>
  <si>
    <t>Sergio Antonin (CAN)</t>
  </si>
  <si>
    <t>Ser-Tech S.à rl.l</t>
  </si>
  <si>
    <t>841</t>
  </si>
  <si>
    <t>ServiceNow</t>
  </si>
  <si>
    <t>920</t>
  </si>
  <si>
    <t>SGMS, MANAGEMENT SOLUTIONS UNIPESSOAL, LDA PORTUGAL</t>
  </si>
  <si>
    <t>1551</t>
  </si>
  <si>
    <t>Shangri-La London</t>
  </si>
  <si>
    <t>936</t>
  </si>
  <si>
    <t>Sharon Bowman</t>
  </si>
  <si>
    <t>Shasat (UK) Limited</t>
  </si>
  <si>
    <t>1146</t>
  </si>
  <si>
    <t>Shereen Chalak / INSEAD</t>
  </si>
  <si>
    <t>She's Cake Parties</t>
  </si>
  <si>
    <t>1483</t>
  </si>
  <si>
    <t>Shiyu Qiu (trainee)</t>
  </si>
  <si>
    <t>Shop Planet</t>
  </si>
  <si>
    <t>1997</t>
  </si>
  <si>
    <t>Shuo Ren</t>
  </si>
  <si>
    <t>Sibos</t>
  </si>
  <si>
    <t>Sicault &amp; Cebe</t>
  </si>
  <si>
    <t>2048</t>
  </si>
  <si>
    <t>Siemens</t>
  </si>
  <si>
    <t>1404</t>
  </si>
  <si>
    <t>Signems Krogstrup</t>
  </si>
  <si>
    <t>Signify Luxembourg SA</t>
  </si>
  <si>
    <t>2107</t>
  </si>
  <si>
    <t>SIGNTEC Gmbh</t>
  </si>
  <si>
    <t>627</t>
  </si>
  <si>
    <t>Sigrid Arlen (Can)</t>
  </si>
  <si>
    <t>SII CONCATEL S.L.U</t>
  </si>
  <si>
    <t>2069</t>
  </si>
  <si>
    <t>Silvana Perona</t>
  </si>
  <si>
    <t>Silvia Hernandez Martin (CAN)</t>
  </si>
  <si>
    <t>Silvia Pepino</t>
  </si>
  <si>
    <t>Simon Birinder</t>
  </si>
  <si>
    <t>Simone Pesce (trainee)</t>
  </si>
  <si>
    <t>simpleshow gmbh</t>
  </si>
  <si>
    <t>900</t>
  </si>
  <si>
    <t>simpleshow UK Ltd.</t>
  </si>
  <si>
    <t>1672</t>
  </si>
  <si>
    <t>Simultando, Ulrike Schu</t>
  </si>
  <si>
    <t>Sitrion</t>
  </si>
  <si>
    <t>780</t>
  </si>
  <si>
    <t>Skillsoft UK limited</t>
  </si>
  <si>
    <t>1758</t>
  </si>
  <si>
    <t>Slaughter and May</t>
  </si>
  <si>
    <t>853</t>
  </si>
  <si>
    <t>SMARTVEB DOO</t>
  </si>
  <si>
    <t>1476</t>
  </si>
  <si>
    <t>Smit Consult</t>
  </si>
  <si>
    <t>1227</t>
  </si>
  <si>
    <t>Smokescreen Technologies Private Limited</t>
  </si>
  <si>
    <t>2141</t>
  </si>
  <si>
    <t>Snizamo B.V.</t>
  </si>
  <si>
    <t>SNL Financial Ltd</t>
  </si>
  <si>
    <t>1255</t>
  </si>
  <si>
    <t>SNLFinancial</t>
  </si>
  <si>
    <t>698</t>
  </si>
  <si>
    <t>Social Science Electronic Publishing Inc</t>
  </si>
  <si>
    <t>1283</t>
  </si>
  <si>
    <t>Societe Generale</t>
  </si>
  <si>
    <t>65</t>
  </si>
  <si>
    <t>Sodexo Luxembourg SA/Softdrinks</t>
  </si>
  <si>
    <t>7</t>
  </si>
  <si>
    <t>Sofia Marques Nobre (trainee)</t>
  </si>
  <si>
    <t>Sofitel Athens Airport Hotel Company S.A.</t>
  </si>
  <si>
    <t>1344</t>
  </si>
  <si>
    <t>Sofitel Brussels Europe</t>
  </si>
  <si>
    <t>255</t>
  </si>
  <si>
    <t>Sofitel Lisbon Liberdade</t>
  </si>
  <si>
    <t>737</t>
  </si>
  <si>
    <t>Sofitel Luxembourg Europe</t>
  </si>
  <si>
    <t>413</t>
  </si>
  <si>
    <t>Sofitel Luxembourg Le Grand Ducal</t>
  </si>
  <si>
    <t>2140</t>
  </si>
  <si>
    <t>SoftwareONE Deutschland GmbH</t>
  </si>
  <si>
    <t>2037</t>
  </si>
  <si>
    <t>Sogeti</t>
  </si>
  <si>
    <t>Sogeti Luxembourg SA</t>
  </si>
  <si>
    <t>326</t>
  </si>
  <si>
    <t>Sole 24 S.p.A.</t>
  </si>
  <si>
    <t>1753</t>
  </si>
  <si>
    <t>Solvay Executive Education ASBL</t>
  </si>
  <si>
    <t>1664</t>
  </si>
  <si>
    <t>Sonja Davidovic (CAN)</t>
  </si>
  <si>
    <t>Sophie Letaut</t>
  </si>
  <si>
    <t>SOPRA STERIA BENELUX - LUXEMBOURG Branch</t>
  </si>
  <si>
    <t>2076</t>
  </si>
  <si>
    <t>SPA Anywhere sarl</t>
  </si>
  <si>
    <t>1100</t>
  </si>
  <si>
    <t>Spedimpex</t>
  </si>
  <si>
    <t>74</t>
  </si>
  <si>
    <t>SPIEGEL-Verlag Rudolf Augstein GmbH &amp; Co.</t>
  </si>
  <si>
    <t>1477</t>
  </si>
  <si>
    <t>Spiridon Michalitsianos</t>
  </si>
  <si>
    <t>Spring Professional Luxembourg SA</t>
  </si>
  <si>
    <t>Springer Customer Service Center GmbH</t>
  </si>
  <si>
    <t>1405</t>
  </si>
  <si>
    <t>Spy-Fy B.V.</t>
  </si>
  <si>
    <t>2152</t>
  </si>
  <si>
    <t>Srichander Ramaswamy</t>
  </si>
  <si>
    <t>1857</t>
  </si>
  <si>
    <t>Srichander Ramaswamy (CAN)</t>
  </si>
  <si>
    <t>srl Clan Europa</t>
  </si>
  <si>
    <t>2089</t>
  </si>
  <si>
    <t>SRS Specialiste Recruitment Services</t>
  </si>
  <si>
    <t>105</t>
  </si>
  <si>
    <t>SSI Schaefer Shop GmbH</t>
  </si>
  <si>
    <t>895</t>
  </si>
  <si>
    <t>SSP Direct</t>
  </si>
  <si>
    <t>1820</t>
  </si>
  <si>
    <t>Stafford Long Partners</t>
  </si>
  <si>
    <t>760</t>
  </si>
  <si>
    <t>Standard &amp; Poor's Credit MKT Svcs France</t>
  </si>
  <si>
    <t>34</t>
  </si>
  <si>
    <t>Standard &amp; Poor's Financial Services</t>
  </si>
  <si>
    <t>84</t>
  </si>
  <si>
    <t>Stanford University</t>
  </si>
  <si>
    <t>1300</t>
  </si>
  <si>
    <t>Staples Belgium sprl</t>
  </si>
  <si>
    <t>235</t>
  </si>
  <si>
    <t>Start People Luxembourg</t>
  </si>
  <si>
    <t>3</t>
  </si>
  <si>
    <t>StataCorp</t>
  </si>
  <si>
    <t>548</t>
  </si>
  <si>
    <t>Statsconsult</t>
  </si>
  <si>
    <t>456</t>
  </si>
  <si>
    <t>Stavros Zenios</t>
  </si>
  <si>
    <t>Stefan Herkommer</t>
  </si>
  <si>
    <t>Stefano Bertozzi</t>
  </si>
  <si>
    <t>Stefano Finesi</t>
  </si>
  <si>
    <t>Steigenberger Frankfurter Hof</t>
  </si>
  <si>
    <t>684</t>
  </si>
  <si>
    <t>Stephane Vincent (interim)</t>
  </si>
  <si>
    <t>Stephen Cecchetti (Seminar Speaker)</t>
  </si>
  <si>
    <t>Stephen Collins</t>
  </si>
  <si>
    <t>Sterling Talent Solutions UK Limited</t>
  </si>
  <si>
    <t>1192</t>
  </si>
  <si>
    <t>SterlingBackcheck (not in use)</t>
  </si>
  <si>
    <t>933</t>
  </si>
  <si>
    <t>Steve Eastwood</t>
  </si>
  <si>
    <t>813</t>
  </si>
  <si>
    <t>Steve Houmenou</t>
  </si>
  <si>
    <t>Stichting P.R.I.M.E.</t>
  </si>
  <si>
    <t>1580</t>
  </si>
  <si>
    <t>Stikeman Elliot LLP</t>
  </si>
  <si>
    <t>870</t>
  </si>
  <si>
    <t>Storm Technology Limited</t>
  </si>
  <si>
    <t>1168</t>
  </si>
  <si>
    <t>Studio Bloomm</t>
  </si>
  <si>
    <t>1573</t>
  </si>
  <si>
    <t>Studio-54</t>
  </si>
  <si>
    <t>1245</t>
  </si>
  <si>
    <t>Styliani Rompesi</t>
  </si>
  <si>
    <t>SUBWAY Lux sarl</t>
  </si>
  <si>
    <t>196</t>
  </si>
  <si>
    <t>Sueddeutsche Zeitung</t>
  </si>
  <si>
    <t>1777</t>
  </si>
  <si>
    <t>SUERF</t>
  </si>
  <si>
    <t>1886</t>
  </si>
  <si>
    <t>Supernova Cult s.a.r.l.</t>
  </si>
  <si>
    <t>1690</t>
  </si>
  <si>
    <t>Surrender Media Solutions</t>
  </si>
  <si>
    <t>1554</t>
  </si>
  <si>
    <t>Susan Gage Caterer</t>
  </si>
  <si>
    <t>1217</t>
  </si>
  <si>
    <t>Susanna Gorlezza</t>
  </si>
  <si>
    <t>SushiShop Kirchberg</t>
  </si>
  <si>
    <t>380</t>
  </si>
  <si>
    <t>Sustainalytics GmbH</t>
  </si>
  <si>
    <t>1971</t>
  </si>
  <si>
    <t>Suyog Anant Peshkar</t>
  </si>
  <si>
    <t>Sven Schmidt Alonso</t>
  </si>
  <si>
    <t>Swaps monitor Publications Inc.</t>
  </si>
  <si>
    <t>1018</t>
  </si>
  <si>
    <t>SWIFT SC</t>
  </si>
  <si>
    <t>1897</t>
  </si>
  <si>
    <t>Swiss Life - Intern. Pension Fund</t>
  </si>
  <si>
    <t>Swiss Life - Intern. Pension Fund MD</t>
  </si>
  <si>
    <t>523</t>
  </si>
  <si>
    <t>Swiss Life (Luxembourg) S.A.</t>
  </si>
  <si>
    <t>68</t>
  </si>
  <si>
    <t>Swiss Life International Pension Fund asbl</t>
  </si>
  <si>
    <t>513</t>
  </si>
  <si>
    <t>Synechron</t>
  </si>
  <si>
    <t>1322</t>
  </si>
  <si>
    <t>Synechron Luxembourg</t>
  </si>
  <si>
    <t>Synechron Luxembourg SA</t>
  </si>
  <si>
    <t>2035</t>
  </si>
  <si>
    <t>Synechron UK</t>
  </si>
  <si>
    <t>1577</t>
  </si>
  <si>
    <t>Systemat Luxembourg PSF sa</t>
  </si>
  <si>
    <t>1172</t>
  </si>
  <si>
    <t>Tableau International, Unlimited Company</t>
  </si>
  <si>
    <t>1597</t>
  </si>
  <si>
    <t>Tactivos, Inc.  MURAL</t>
  </si>
  <si>
    <t>2092</t>
  </si>
  <si>
    <t>Tactivos, Inc. MURAL</t>
  </si>
  <si>
    <t>TALK finance</t>
  </si>
  <si>
    <t>56</t>
  </si>
  <si>
    <t>Talkwalker SARL</t>
  </si>
  <si>
    <t>1539</t>
  </si>
  <si>
    <t>Tamon Asonuma</t>
  </si>
  <si>
    <t>Tanja Latic (CAN)</t>
  </si>
  <si>
    <t>Tarvo Seenmaa</t>
  </si>
  <si>
    <t>Tase Research Sarl</t>
  </si>
  <si>
    <t>638</t>
  </si>
  <si>
    <t>Tatjana Zaksek (CAN)</t>
  </si>
  <si>
    <t>Taxi et Transport Gillet s.a.</t>
  </si>
  <si>
    <t>985</t>
  </si>
  <si>
    <t>Taxis.Lu</t>
  </si>
  <si>
    <t>288</t>
  </si>
  <si>
    <t>Taylor&amp;Francis</t>
  </si>
  <si>
    <t>1290</t>
  </si>
  <si>
    <t>Team Relocations</t>
  </si>
  <si>
    <t>558</t>
  </si>
  <si>
    <t>Team Relocations Ltd</t>
  </si>
  <si>
    <t>1501</t>
  </si>
  <si>
    <t>Team Relocations s.a.</t>
  </si>
  <si>
    <t>911</t>
  </si>
  <si>
    <t>Technische Akademie Hameln</t>
  </si>
  <si>
    <t>1445</t>
  </si>
  <si>
    <t>Technogym Benelux BV</t>
  </si>
  <si>
    <t>2090</t>
  </si>
  <si>
    <t>Tel Aviv University</t>
  </si>
  <si>
    <t>1756</t>
  </si>
  <si>
    <t>Teletrans S.A.</t>
  </si>
  <si>
    <t>318</t>
  </si>
  <si>
    <t>Telindus</t>
  </si>
  <si>
    <t>52</t>
  </si>
  <si>
    <t>Telkea ICT S.A.</t>
  </si>
  <si>
    <t>201</t>
  </si>
  <si>
    <t>Tena Tomek</t>
  </si>
  <si>
    <t>Teneo Meetings S.L</t>
  </si>
  <si>
    <t>589</t>
  </si>
  <si>
    <t>Terranova Worldwide Corporation</t>
  </si>
  <si>
    <t>951</t>
  </si>
  <si>
    <t>Terrence Moloney</t>
  </si>
  <si>
    <t>Teuta Turani (CAN)</t>
  </si>
  <si>
    <t>TG Etranger</t>
  </si>
  <si>
    <t>268</t>
  </si>
  <si>
    <t>Thanos Kagiras</t>
  </si>
  <si>
    <t>The Ark</t>
  </si>
  <si>
    <t>879</t>
  </si>
  <si>
    <t>The Athenaeum</t>
  </si>
  <si>
    <t>1582</t>
  </si>
  <si>
    <t>The BCI Forum Limited</t>
  </si>
  <si>
    <t>795</t>
  </si>
  <si>
    <t>The Bridge Forum Dialogue</t>
  </si>
  <si>
    <t>1384</t>
  </si>
  <si>
    <t>The Chartered Institute of Procurement &amp; Supply</t>
  </si>
  <si>
    <t>1440</t>
  </si>
  <si>
    <t>The Economist</t>
  </si>
  <si>
    <t>792</t>
  </si>
  <si>
    <t>The Financial Journalism Co. Ltd</t>
  </si>
  <si>
    <t>1536</t>
  </si>
  <si>
    <t>The Financial Times Limited</t>
  </si>
  <si>
    <t>447</t>
  </si>
  <si>
    <t>The Green House Group SPRL</t>
  </si>
  <si>
    <t>1825</t>
  </si>
  <si>
    <t>The Institute of Internal Auditors</t>
  </si>
  <si>
    <t>1738</t>
  </si>
  <si>
    <t>THE KNOWLEDGE ACADEMY LIMITED</t>
  </si>
  <si>
    <t>1670</t>
  </si>
  <si>
    <t>The Office City Sàrl</t>
  </si>
  <si>
    <t>1962</t>
  </si>
  <si>
    <t>The Risk Banking and Finance Society - Non-profit Association</t>
  </si>
  <si>
    <t>1617</t>
  </si>
  <si>
    <t>The Royal Bank of Scotland</t>
  </si>
  <si>
    <t>427</t>
  </si>
  <si>
    <t>The Second Degree asbl</t>
  </si>
  <si>
    <t>1332</t>
  </si>
  <si>
    <t>The University of Nottingham</t>
  </si>
  <si>
    <t>1044</t>
  </si>
  <si>
    <t>The Westin Grand Frankfurt</t>
  </si>
  <si>
    <t>1505</t>
  </si>
  <si>
    <t>The World Bank</t>
  </si>
  <si>
    <t>257</t>
  </si>
  <si>
    <t>THELUX SARL</t>
  </si>
  <si>
    <t>2161</t>
  </si>
  <si>
    <t>Theodoros Nikolapoulos (CAN)</t>
  </si>
  <si>
    <t>Thierry Ragueneau</t>
  </si>
  <si>
    <t>Thomas Voland</t>
  </si>
  <si>
    <t>Thomas von Luepke</t>
  </si>
  <si>
    <t>Thomson Reuters Professional UK Limited</t>
  </si>
  <si>
    <t>1611</t>
  </si>
  <si>
    <t>Thomson Reuters/Reuters Limited</t>
  </si>
  <si>
    <t>98</t>
  </si>
  <si>
    <t>THOST Projektmanagement GmbH</t>
  </si>
  <si>
    <t>2016</t>
  </si>
  <si>
    <t>Threon NV</t>
  </si>
  <si>
    <t>775</t>
  </si>
  <si>
    <t>Tigran Poghosyan</t>
  </si>
  <si>
    <t>Tim van Horenbeke</t>
  </si>
  <si>
    <t>Timberlake Consultants Limited</t>
  </si>
  <si>
    <t>511</t>
  </si>
  <si>
    <t>timeless-Design</t>
  </si>
  <si>
    <t>367</t>
  </si>
  <si>
    <t>Timo Theuerkaufer (CAN)</t>
  </si>
  <si>
    <t>Timothy Lim Uy (Speaker)</t>
  </si>
  <si>
    <t>Tivoli Hotel Lisboa</t>
  </si>
  <si>
    <t>940</t>
  </si>
  <si>
    <t>TNT express</t>
  </si>
  <si>
    <t>664</t>
  </si>
  <si>
    <t>Tofts Transport</t>
  </si>
  <si>
    <t>Tomas Miselnicky</t>
  </si>
  <si>
    <t>Tomasz Karzel</t>
  </si>
  <si>
    <t>Tommaso Fabi (BoA)</t>
  </si>
  <si>
    <t>Torsten Wieczorek</t>
  </si>
  <si>
    <t>Towers Watson Limited</t>
  </si>
  <si>
    <t>1966</t>
  </si>
  <si>
    <t>Tradeweb</t>
  </si>
  <si>
    <t>1284</t>
  </si>
  <si>
    <t>Tranelux</t>
  </si>
  <si>
    <t>377</t>
  </si>
  <si>
    <t>Transports Barbosa sprl</t>
  </si>
  <si>
    <t>305</t>
  </si>
  <si>
    <t>Transylania sprl</t>
  </si>
  <si>
    <t>1009</t>
  </si>
  <si>
    <t>TRASYS International EEIG</t>
  </si>
  <si>
    <t>1525</t>
  </si>
  <si>
    <t>Travel Pro S.A.</t>
  </si>
  <si>
    <t>1989</t>
  </si>
  <si>
    <t>Treamo Business Consulting GmbH</t>
  </si>
  <si>
    <t>1223</t>
  </si>
  <si>
    <t>Trendwerk77</t>
  </si>
  <si>
    <t>394</t>
  </si>
  <si>
    <t>Tresorerie de l'Etat Ministere de la Culture</t>
  </si>
  <si>
    <t>1815</t>
  </si>
  <si>
    <t>Trident Consulting</t>
  </si>
  <si>
    <t>1959</t>
  </si>
  <si>
    <t>TRIV, s.r.o.</t>
  </si>
  <si>
    <t>2135</t>
  </si>
  <si>
    <t>Trustees of Columbia University in the City of New York</t>
  </si>
  <si>
    <t>1375</t>
  </si>
  <si>
    <t>TUEV Nord</t>
  </si>
  <si>
    <t>116</t>
  </si>
  <si>
    <t>Turnstone Services Ltd</t>
  </si>
  <si>
    <t>945</t>
  </si>
  <si>
    <t>U2U Training nv/sa</t>
  </si>
  <si>
    <t>816</t>
  </si>
  <si>
    <t>UAB NRD CS.</t>
  </si>
  <si>
    <t>1631</t>
  </si>
  <si>
    <t>UAP Successeurs</t>
  </si>
  <si>
    <t>424</t>
  </si>
  <si>
    <t>UFFICCJU NAZZJONALI TAL-VERIFIKA (BoA)</t>
  </si>
  <si>
    <t>UL Union Legend</t>
  </si>
  <si>
    <t>1945</t>
  </si>
  <si>
    <t>Ulrich Graf</t>
  </si>
  <si>
    <t>Ulrich Sport - Isbrecht und Reiser GdR</t>
  </si>
  <si>
    <t>1105</t>
  </si>
  <si>
    <t>Umberto Boeri</t>
  </si>
  <si>
    <t>UniCredit</t>
  </si>
  <si>
    <t>501</t>
  </si>
  <si>
    <t>UniSystems Luxembourg Sarl</t>
  </si>
  <si>
    <t>2066</t>
  </si>
  <si>
    <t>UniSystems Systemes Informatiques SA</t>
  </si>
  <si>
    <t>1523</t>
  </si>
  <si>
    <t>United Nations Development Programme</t>
  </si>
  <si>
    <t>1206</t>
  </si>
  <si>
    <t>United Nations System Staff College</t>
  </si>
  <si>
    <t>2041</t>
  </si>
  <si>
    <t>Universidade Catolica Portuguesa</t>
  </si>
  <si>
    <t>1212</t>
  </si>
  <si>
    <t>Universita degli studi di Cagliari</t>
  </si>
  <si>
    <t>1114</t>
  </si>
  <si>
    <t>Universitaet Osnabrueck</t>
  </si>
  <si>
    <t>1022</t>
  </si>
  <si>
    <t>Universitaet Zuerich</t>
  </si>
  <si>
    <t>1016</t>
  </si>
  <si>
    <t>Universite libre de Bruxelles</t>
  </si>
  <si>
    <t>1720</t>
  </si>
  <si>
    <t>Universiteit Leiden cs UFB</t>
  </si>
  <si>
    <t>1892</t>
  </si>
  <si>
    <t>University of London</t>
  </si>
  <si>
    <t>793</t>
  </si>
  <si>
    <t>University of Luxembourg/TC</t>
  </si>
  <si>
    <t>996</t>
  </si>
  <si>
    <t>University of Nottingham</t>
  </si>
  <si>
    <t>1362</t>
  </si>
  <si>
    <t>University of Oxford</t>
  </si>
  <si>
    <t>1780</t>
  </si>
  <si>
    <t>University of Pennsylvania</t>
  </si>
  <si>
    <t>1297</t>
  </si>
  <si>
    <t>University of Reading</t>
  </si>
  <si>
    <t>564</t>
  </si>
  <si>
    <t>Unterbichler Gase GmbH</t>
  </si>
  <si>
    <t>417</t>
  </si>
  <si>
    <t>UPS Luxemburg</t>
  </si>
  <si>
    <t>550</t>
  </si>
  <si>
    <t>Utku Oz (trainee)</t>
  </si>
  <si>
    <t>Utopia</t>
  </si>
  <si>
    <t>839</t>
  </si>
  <si>
    <t>Uwe Dettmar Fotografie</t>
  </si>
  <si>
    <t>1880</t>
  </si>
  <si>
    <t>Valentin Lang (Speaker)</t>
  </si>
  <si>
    <t>Valentina Kostyleva</t>
  </si>
  <si>
    <t>Valerie Herzberg (applicant)</t>
  </si>
  <si>
    <t>Valerio Ercolani</t>
  </si>
  <si>
    <t>Varvara Runova</t>
  </si>
  <si>
    <t>Vasiliki Michou</t>
  </si>
  <si>
    <t>Veit Nickel</t>
  </si>
  <si>
    <t>VEOLIA Luxembourg S.A.</t>
  </si>
  <si>
    <t>2031</t>
  </si>
  <si>
    <t>Verbeek Begruenung</t>
  </si>
  <si>
    <t>356</t>
  </si>
  <si>
    <t>Verlag C.H. Beck oHG</t>
  </si>
  <si>
    <t>785</t>
  </si>
  <si>
    <t>Viajes el corte ingles</t>
  </si>
  <si>
    <t>1668</t>
  </si>
  <si>
    <t>Victor Rodriguez</t>
  </si>
  <si>
    <t>Victor Saez (Speaker)</t>
  </si>
  <si>
    <t>Vilenas Vadapalas</t>
  </si>
  <si>
    <t>Viliyana Novoselska</t>
  </si>
  <si>
    <t>Ville de Luxembourg - Recette Communale</t>
  </si>
  <si>
    <t>718</t>
  </si>
  <si>
    <t>Villeroy &amp; Boch</t>
  </si>
  <si>
    <t>973</t>
  </si>
  <si>
    <t>Vincenzo Scarpello</t>
  </si>
  <si>
    <t>Viola Kapitanova</t>
  </si>
  <si>
    <t>Violeta Klyviene (CAN)</t>
  </si>
  <si>
    <t>Virginia Melgar</t>
  </si>
  <si>
    <t>Virginie Vitoux</t>
  </si>
  <si>
    <t>Virtanen Anton</t>
  </si>
  <si>
    <t>Vispronet</t>
  </si>
  <si>
    <t>797</t>
  </si>
  <si>
    <t>VITAL Clean GmbH</t>
  </si>
  <si>
    <t>1123</t>
  </si>
  <si>
    <t>Vlerick Business School</t>
  </si>
  <si>
    <t>1389</t>
  </si>
  <si>
    <t>Vllaznim Bytyqi (CAN)</t>
  </si>
  <si>
    <t>VLUGO Verhuizingen</t>
  </si>
  <si>
    <t>269</t>
  </si>
  <si>
    <t>Von Zur Muehlen'sche GmbH</t>
  </si>
  <si>
    <t>253</t>
  </si>
  <si>
    <t>Voyages Vandivinit</t>
  </si>
  <si>
    <t>1814</t>
  </si>
  <si>
    <t>Vuk Sajinovic</t>
  </si>
  <si>
    <t>Waegenbaur</t>
  </si>
  <si>
    <t>823</t>
  </si>
  <si>
    <t>watchTV</t>
  </si>
  <si>
    <t>631</t>
  </si>
  <si>
    <t>Waterlogic</t>
  </si>
  <si>
    <t>406</t>
  </si>
  <si>
    <t>Wavestone S.A</t>
  </si>
  <si>
    <t>2054</t>
  </si>
  <si>
    <t>Web Spiders</t>
  </si>
  <si>
    <t>1776</t>
  </si>
  <si>
    <t>Webtaxi Sarl</t>
  </si>
  <si>
    <t>1530</t>
  </si>
  <si>
    <t>Wellbeing at Work</t>
  </si>
  <si>
    <t>1241</t>
  </si>
  <si>
    <t>WELT KOMPAKT</t>
  </si>
  <si>
    <t>2052</t>
  </si>
  <si>
    <t>Werner Miguel Kuhn</t>
  </si>
  <si>
    <t>Whetstone Solutions AB</t>
  </si>
  <si>
    <t>414</t>
  </si>
  <si>
    <t>White &amp; Company</t>
  </si>
  <si>
    <t>692</t>
  </si>
  <si>
    <t>White, William</t>
  </si>
  <si>
    <t>96</t>
  </si>
  <si>
    <t>WHU-Otto Beisheim School of Management</t>
  </si>
  <si>
    <t>1678</t>
  </si>
  <si>
    <t>WIENER MOBELPACKER</t>
  </si>
  <si>
    <t>2034</t>
  </si>
  <si>
    <t>Wildwood Response</t>
  </si>
  <si>
    <t>752</t>
  </si>
  <si>
    <t>Wilkhahn</t>
  </si>
  <si>
    <t>333</t>
  </si>
  <si>
    <t>Wilko Werbetechnik-Center GmbH</t>
  </si>
  <si>
    <t>1671</t>
  </si>
  <si>
    <t>Willem Vanlaer (Can)</t>
  </si>
  <si>
    <t>Wishes and More sarl</t>
  </si>
  <si>
    <t>363</t>
  </si>
  <si>
    <t>With Intelligence Limited</t>
  </si>
  <si>
    <t>2204</t>
  </si>
  <si>
    <t>WM Gruppe</t>
  </si>
  <si>
    <t>278</t>
  </si>
  <si>
    <t>Wolfgang Marty (speaker)</t>
  </si>
  <si>
    <t>Wolters Kluwer</t>
  </si>
  <si>
    <t>917</t>
  </si>
  <si>
    <t>Wood Beton SPRL</t>
  </si>
  <si>
    <t>2217</t>
  </si>
  <si>
    <t>World Business Strategies</t>
  </si>
  <si>
    <t>868</t>
  </si>
  <si>
    <t>World Economic Forum</t>
  </si>
  <si>
    <t>2211</t>
  </si>
  <si>
    <t>Worldline Financial Services (Europe) S.A.</t>
  </si>
  <si>
    <t>1644</t>
  </si>
  <si>
    <t>Wu Chao (trainee)</t>
  </si>
  <si>
    <t>Wunderkraut GmbH</t>
  </si>
  <si>
    <t>1566</t>
  </si>
  <si>
    <t>Xantor Informatique</t>
  </si>
  <si>
    <t>1066</t>
  </si>
  <si>
    <t>Xu Jiang</t>
  </si>
  <si>
    <t>Yacine Le Forestier</t>
  </si>
  <si>
    <t>Yang Bi (CAN)</t>
  </si>
  <si>
    <t>Yanjun Chen</t>
  </si>
  <si>
    <t>Yannong Qu (trainee)</t>
  </si>
  <si>
    <t>Yara Tayo</t>
  </si>
  <si>
    <t>Yasin Mimir</t>
  </si>
  <si>
    <t>Yasmine Hadjili (trainee)</t>
  </si>
  <si>
    <t>Yi Huang (Seminar Speaker)</t>
  </si>
  <si>
    <t>1367</t>
  </si>
  <si>
    <t>Your Surprise</t>
  </si>
  <si>
    <t>2004</t>
  </si>
  <si>
    <t>Yoursurprise.com</t>
  </si>
  <si>
    <t>2013</t>
  </si>
  <si>
    <t>Youssef Rais (trainee)</t>
  </si>
  <si>
    <t>YSEOP SAS</t>
  </si>
  <si>
    <t>2080</t>
  </si>
  <si>
    <t>Zapf Umzuege</t>
  </si>
  <si>
    <t>263</t>
  </si>
  <si>
    <t>Zawich SA</t>
  </si>
  <si>
    <t>2129</t>
  </si>
  <si>
    <t>Zeb Rolfes Schierenbeck associates GmbH</t>
  </si>
  <si>
    <t>1424</t>
  </si>
  <si>
    <t>Zelealem Tesfamariam</t>
  </si>
  <si>
    <t>ZEP srl</t>
  </si>
  <si>
    <t>1907</t>
  </si>
  <si>
    <t>Zepos &amp; Yannopoulos Law Firm</t>
  </si>
  <si>
    <t>1000</t>
  </si>
  <si>
    <t>ZHAW</t>
  </si>
  <si>
    <t>1282</t>
  </si>
  <si>
    <t>ZithaGesondheetsZentrum</t>
  </si>
  <si>
    <t>1012</t>
  </si>
  <si>
    <t>Zscaler, Inc. (Smoke screen)</t>
  </si>
  <si>
    <t>Zurich Insurance</t>
  </si>
  <si>
    <t>169</t>
  </si>
  <si>
    <t>Sourcing Types</t>
  </si>
  <si>
    <t>Fee type</t>
  </si>
  <si>
    <t>Legal Rep</t>
  </si>
  <si>
    <t>Currency</t>
  </si>
  <si>
    <t>Business</t>
  </si>
  <si>
    <t>?</t>
  </si>
  <si>
    <t>For Action:</t>
  </si>
  <si>
    <t>Contract with</t>
  </si>
  <si>
    <t>PLANT</t>
  </si>
  <si>
    <t>EMAIL Address</t>
  </si>
  <si>
    <t>X</t>
  </si>
  <si>
    <t>Additional Expertise</t>
  </si>
  <si>
    <t>On site (As ESM Staff)</t>
  </si>
  <si>
    <t>Part time</t>
  </si>
  <si>
    <t>Cascade (consultancy panel)</t>
  </si>
  <si>
    <t xml:space="preserve">Time &amp; Material </t>
  </si>
  <si>
    <t xml:space="preserve">Adrienne Richardson </t>
  </si>
  <si>
    <t>EUR</t>
  </si>
  <si>
    <t>FM</t>
  </si>
  <si>
    <t>1 X 3 Month</t>
  </si>
  <si>
    <t>Additional Resources</t>
  </si>
  <si>
    <t>Fully Remote</t>
  </si>
  <si>
    <t>Full time</t>
  </si>
  <si>
    <t>Commission procedure</t>
  </si>
  <si>
    <t>Time &amp; Material (internal cap)</t>
  </si>
  <si>
    <t>USD</t>
  </si>
  <si>
    <t>No</t>
  </si>
  <si>
    <t>IT</t>
  </si>
  <si>
    <t>1 X 6 Month</t>
  </si>
  <si>
    <t>Backfill</t>
  </si>
  <si>
    <t>On site (As ESM Staff)/Fully Remote</t>
  </si>
  <si>
    <t>Ad hoc</t>
  </si>
  <si>
    <t>Contract extension</t>
  </si>
  <si>
    <t>Fixed recurring fee</t>
  </si>
  <si>
    <t xml:space="preserve">Andreas Juettner </t>
  </si>
  <si>
    <t>GBP</t>
  </si>
  <si>
    <t>HR</t>
  </si>
  <si>
    <t>1 X 12 Month</t>
  </si>
  <si>
    <t>Project</t>
  </si>
  <si>
    <t>Part time/Full time/Ad hoc</t>
  </si>
  <si>
    <t>Contract modification</t>
  </si>
  <si>
    <t>Fixed recurring fee (with indexation)</t>
  </si>
  <si>
    <t>Ampeglio Amore</t>
  </si>
  <si>
    <t>NOR</t>
  </si>
  <si>
    <t xml:space="preserve">New end date: </t>
  </si>
  <si>
    <t>F&amp;C</t>
  </si>
  <si>
    <t>2 X 3 Month</t>
  </si>
  <si>
    <t>Additional Expertise / Additional Resources / Backfill / Project</t>
  </si>
  <si>
    <t>Contract modification (Termination)</t>
  </si>
  <si>
    <t>Fixed price</t>
  </si>
  <si>
    <t>Asta Gerhardt</t>
  </si>
  <si>
    <t>CAD</t>
  </si>
  <si>
    <t xml:space="preserve">No impact on contract term </t>
  </si>
  <si>
    <t>Funding</t>
  </si>
  <si>
    <t>Nonso Enemuoh</t>
  </si>
  <si>
    <t>Karolina Matuszewska-Pautsch</t>
  </si>
  <si>
    <t>Test test</t>
  </si>
  <si>
    <t>TOAST TOAST</t>
  </si>
  <si>
    <t>2 X 6 Month</t>
  </si>
  <si>
    <t>Contract modification and extension</t>
  </si>
  <si>
    <t>Fixed price (excluding expenses)</t>
  </si>
  <si>
    <t>Kacper Podplomyk</t>
  </si>
  <si>
    <t>HUF</t>
  </si>
  <si>
    <t>XX/XX/XX to XX/XX/XX</t>
  </si>
  <si>
    <t>CGIP</t>
  </si>
  <si>
    <t>2 X 12 Month</t>
  </si>
  <si>
    <t>Deviated procedure</t>
  </si>
  <si>
    <t>Cap</t>
  </si>
  <si>
    <t>PLN</t>
  </si>
  <si>
    <t>BSPM</t>
  </si>
  <si>
    <t>The fee type “Time &amp; Material (internal cap)” is meant for rare scenarios only (e.g. if the CPC approved the project/contract subject to not spending more than X€). Please confirm with Andreas if you think this fee type should be used.</t>
  </si>
  <si>
    <t>Tosin irums</t>
  </si>
  <si>
    <t>Mark Forjoe</t>
  </si>
  <si>
    <t>bolus nwakwo</t>
  </si>
  <si>
    <t>emeka agupugo</t>
  </si>
  <si>
    <t>nonso enemuoh</t>
  </si>
  <si>
    <t>ify agupugo</t>
  </si>
  <si>
    <t>3 X 3 Month</t>
  </si>
  <si>
    <t>Direct award - Exception</t>
  </si>
  <si>
    <t>Cap (excluding expenses)</t>
  </si>
  <si>
    <t>Marion Courbis</t>
  </si>
  <si>
    <t>PSIR</t>
  </si>
  <si>
    <t>3 X 6 Month</t>
  </si>
  <si>
    <t>Direct award - Exclusion</t>
  </si>
  <si>
    <t>SG</t>
  </si>
  <si>
    <t>Email</t>
  </si>
  <si>
    <t>Char</t>
  </si>
  <si>
    <t>3 X 12 Month</t>
  </si>
  <si>
    <t>Direct award &lt; €50K</t>
  </si>
  <si>
    <t>PMBS</t>
  </si>
  <si>
    <t>@esm.europa.eu</t>
  </si>
  <si>
    <t>Tosinirums@esm.europa.eu</t>
  </si>
  <si>
    <t>EFSF contract</t>
  </si>
  <si>
    <t>Audit</t>
  </si>
  <si>
    <t>Mark</t>
  </si>
  <si>
    <t>Mark@esm.europa.eu</t>
  </si>
  <si>
    <t>EPCO procedure</t>
  </si>
  <si>
    <t>CFO</t>
  </si>
  <si>
    <t>bolus</t>
  </si>
  <si>
    <t>bolus@esm.europa.eu</t>
  </si>
  <si>
    <t>FA Implementation</t>
  </si>
  <si>
    <t>Risk</t>
  </si>
  <si>
    <t>emeka</t>
  </si>
  <si>
    <t>emeka@esm.europa.eu</t>
  </si>
  <si>
    <t>Mini-competition (consultancy panel)</t>
  </si>
  <si>
    <t>MBO</t>
  </si>
  <si>
    <t>Mini-competition (OD panel)</t>
  </si>
  <si>
    <t>ALMFS</t>
  </si>
  <si>
    <t>Non-public tender</t>
  </si>
  <si>
    <t>EMA</t>
  </si>
  <si>
    <t>Public tender (negotiated)</t>
  </si>
  <si>
    <t>FSMA</t>
  </si>
  <si>
    <t>Public tender (open)</t>
  </si>
  <si>
    <t>Communications</t>
  </si>
  <si>
    <t>Public tender (restricted)</t>
  </si>
  <si>
    <t>Legal and Procurement</t>
  </si>
  <si>
    <t>Investment and Treasury</t>
  </si>
  <si>
    <t>CRO</t>
  </si>
  <si>
    <t>Compliance</t>
  </si>
  <si>
    <t>ERA</t>
  </si>
  <si>
    <t>Amendment increasing the value of the contract by EUR XXX</t>
  </si>
  <si>
    <t>Amendment decreasing the value of the contract by EUR XXX</t>
  </si>
  <si>
    <t>Amendment without impact on the value of the contract</t>
  </si>
  <si>
    <t>Yellow</t>
  </si>
  <si>
    <t xml:space="preserve">Please “reply all”.  </t>
  </si>
  <si>
    <t xml:space="preserve">Many thanks and best regards, </t>
  </si>
  <si>
    <t xml:space="preserve">--- DRAFT CONTRACT APPROVAL EMAIL --- </t>
  </si>
  <si>
    <t xml:space="preserve">Dear All,  </t>
  </si>
  <si>
    <t>The attached contract is ready for internal approval according to the Authorised Signatories Policy.</t>
  </si>
  <si>
    <t>Please review the attached documents and the below information. </t>
  </si>
  <si>
    <t xml:space="preserve">If you approve this contract to be signed, please respond ‘approved’ to this email by </t>
  </si>
  <si>
    <t>all approvals are captured in one email chain. </t>
  </si>
  <si>
    <t xml:space="preserve">I herewith provide my approval.  </t>
  </si>
  <si>
    <t xml:space="preserve">Once all approvals have been provided, CLP will arrange the signature of the contract.  </t>
  </si>
  <si>
    <t>Best regards, </t>
  </si>
  <si>
    <t>reply all</t>
  </si>
  <si>
    <t>so that</t>
  </si>
  <si>
    <r>
      <t xml:space="preserve">Click </t>
    </r>
    <r>
      <rPr>
        <b/>
        <sz val="11"/>
        <color theme="1"/>
        <rFont val="Calibri"/>
        <family val="2"/>
        <scheme val="minor"/>
      </rPr>
      <t>"Consultant"</t>
    </r>
    <r>
      <rPr>
        <sz val="11"/>
        <color theme="1"/>
        <rFont val="Calibri"/>
        <family val="2"/>
        <scheme val="minor"/>
      </rPr>
      <t xml:space="preserve"> if it’s an </t>
    </r>
    <r>
      <rPr>
        <b/>
        <sz val="11"/>
        <color theme="1"/>
        <rFont val="Calibri"/>
        <family val="2"/>
        <scheme val="minor"/>
      </rPr>
      <t>implementing Contract under the consultancy Panel</t>
    </r>
    <r>
      <rPr>
        <sz val="11"/>
        <color theme="1"/>
        <rFont val="Calibri"/>
        <family val="2"/>
        <scheme val="minor"/>
      </rPr>
      <t xml:space="preserve"> or the services </t>
    </r>
    <r>
      <rPr>
        <b/>
        <sz val="11"/>
        <color theme="1"/>
        <rFont val="Calibri"/>
        <family val="2"/>
        <scheme val="minor"/>
      </rPr>
      <t>meet the following definition of consultancy</t>
    </r>
    <r>
      <rPr>
        <sz val="11"/>
        <color theme="1"/>
        <rFont val="Calibri"/>
        <family val="2"/>
        <scheme val="minor"/>
      </rPr>
      <t xml:space="preserve">: "Expert advice on a particular subject which a person or group is paid to provide to the ESM, often complemented by implementation services." Note: Do not click </t>
    </r>
    <r>
      <rPr>
        <b/>
        <sz val="11"/>
        <color theme="1"/>
        <rFont val="Calibri"/>
        <family val="2"/>
        <scheme val="minor"/>
      </rPr>
      <t xml:space="preserve">"Consultant" </t>
    </r>
    <r>
      <rPr>
        <sz val="11"/>
        <color theme="1"/>
        <rFont val="Calibri"/>
        <family val="2"/>
        <scheme val="minor"/>
      </rPr>
      <t>if the service is overseen by the sourcing commitee</t>
    </r>
  </si>
  <si>
    <r>
      <t>Click "</t>
    </r>
    <r>
      <rPr>
        <b/>
        <sz val="11"/>
        <color theme="1"/>
        <rFont val="Calibri"/>
        <family val="2"/>
        <scheme val="minor"/>
      </rPr>
      <t>Amendment</t>
    </r>
    <r>
      <rPr>
        <sz val="11"/>
        <color theme="1"/>
        <rFont val="Calibri"/>
        <family val="2"/>
        <scheme val="minor"/>
      </rPr>
      <t>" if this is an amendment to a consultancy related contract</t>
    </r>
  </si>
  <si>
    <t>consultancy_contracts@esm.europa.eu</t>
  </si>
  <si>
    <t>Hybrid</t>
  </si>
  <si>
    <t>Commission procedure (Request for participation)</t>
  </si>
  <si>
    <t>EPCO procedure (Request for participation)</t>
  </si>
  <si>
    <t>Non-Commercial Arrangement</t>
  </si>
  <si>
    <t>Amendment increasing the value of the contract by EUR XXX The increased value is calculated based on the extended duration of the contract which runs from xx/xx/xx to xx/xx/xx.</t>
  </si>
  <si>
    <t>Procurement Officer managing tender:</t>
  </si>
  <si>
    <t>Karina Balcer-Kopka</t>
  </si>
  <si>
    <t>I hope you are fine.</t>
  </si>
  <si>
    <t xml:space="preserve">To finalise the below draft contract approval email, please </t>
  </si>
  <si>
    <t>-	review the information in the table and let me know in case anything should not be accurate, and</t>
  </si>
  <si>
    <t>-	complete the field(s) marked with “?”.</t>
  </si>
  <si>
    <t>Working Mode:</t>
  </si>
  <si>
    <t>Work Location:</t>
  </si>
  <si>
    <t>YEAR</t>
  </si>
  <si>
    <t>Forecasted Budget Split</t>
  </si>
  <si>
    <t>Lot Number:</t>
  </si>
  <si>
    <t>Dicipline:</t>
  </si>
  <si>
    <t>Competition Benefits:</t>
  </si>
  <si>
    <t>Negotiation Benefits:</t>
  </si>
  <si>
    <t>Supplier Change Benefits:</t>
  </si>
  <si>
    <t>APPROVAL EMAIL TOOL</t>
  </si>
  <si>
    <t>TO BEGIN - SELECT THE APPROPRIATE SOURCING TYPE</t>
  </si>
  <si>
    <t>TENDER / RFS</t>
  </si>
  <si>
    <t>AMENDMENT</t>
  </si>
  <si>
    <t>FA IMPLEMENTATION</t>
  </si>
  <si>
    <t>DIRECT AWARD</t>
  </si>
  <si>
    <t>OTHERS</t>
  </si>
  <si>
    <t>SELECTING THE RIGHT SOURCING TYPE IS CRUCIAL FOR ENSURING THE ACCURACY OF THE CLP ANNUAL REPORT. IT IS OF UTMOST IMPORTANCE TO CHOOSE THE APPROPRIATE SOURCING TYPE FOR EACH CONTRACT. WHEN IN DOUBT, PLEASE CONSULT DR. JUETTNER !</t>
  </si>
  <si>
    <t>Kallirroi Kapetanaki</t>
  </si>
  <si>
    <t>Giorgia Limongelli</t>
  </si>
  <si>
    <t>Anabela Reis</t>
  </si>
  <si>
    <t>Cédric Crelo</t>
  </si>
  <si>
    <t>Christophe Frankel</t>
  </si>
  <si>
    <t>David Wallace</t>
  </si>
  <si>
    <t>Florian Zinoecker</t>
  </si>
  <si>
    <t>João Gião</t>
  </si>
  <si>
    <t>Kalin Anev Janse</t>
  </si>
  <si>
    <t>Laure Salducci</t>
  </si>
  <si>
    <t>Markus Sewenig</t>
  </si>
  <si>
    <t>Nicola Giammarioli</t>
  </si>
  <si>
    <t>Pierre Gramegna</t>
  </si>
  <si>
    <t>Rolf Strauch</t>
  </si>
  <si>
    <t>Sara Alonso</t>
  </si>
  <si>
    <t>Vaya Polymerou</t>
  </si>
  <si>
    <t>Christophe Frankel &amp; João Gião</t>
  </si>
  <si>
    <t>Christophe Frankel &amp; Kalin Anev Janse</t>
  </si>
  <si>
    <t>Christophe Frankel &amp; Nicola Giammarioli</t>
  </si>
  <si>
    <t>Christophe Frankel &amp; Rolf Strauch</t>
  </si>
  <si>
    <t>João Gião &amp; Nicola Giammarioli</t>
  </si>
  <si>
    <t>Kalin Anev Janse &amp; João Gião</t>
  </si>
  <si>
    <t>Kalin Anev Janse &amp; Nicola Giammarioli</t>
  </si>
  <si>
    <t>Kalin Anev Janse &amp; Rolf Strauch</t>
  </si>
  <si>
    <t>Pierre Gramegna &amp; Christophe Frankel</t>
  </si>
  <si>
    <t>Pierre Gramegna &amp; João Gião</t>
  </si>
  <si>
    <t>Pierre Gramegna &amp; Kalin Anev Janse</t>
  </si>
  <si>
    <t>Pierre Gramegna &amp; Nicola Giammarioli</t>
  </si>
  <si>
    <t>Pierre Gramegna &amp; Rolf Strauch</t>
  </si>
  <si>
    <t>Rolf Strauch &amp; João Gião</t>
  </si>
  <si>
    <t>Rolf Strauch &amp; Nicola Giammarioli</t>
  </si>
  <si>
    <t xml:space="preserve">Adam Ensor </t>
  </si>
  <si>
    <t xml:space="preserve"> Adriaan Lubbers </t>
  </si>
  <si>
    <t xml:space="preserve"> Adriana Chituc </t>
  </si>
  <si>
    <t xml:space="preserve"> Adrienne Richardson </t>
  </si>
  <si>
    <t xml:space="preserve"> Agnieszka Szram </t>
  </si>
  <si>
    <t xml:space="preserve"> Ahmed Khater </t>
  </si>
  <si>
    <t xml:space="preserve"> Aleksandra Jaszczuk </t>
  </si>
  <si>
    <t xml:space="preserve"> Aleksandra Kolndrekaj </t>
  </si>
  <si>
    <t xml:space="preserve"> Alessandra Donini </t>
  </si>
  <si>
    <t xml:space="preserve"> Alessandro Rossi </t>
  </si>
  <si>
    <t xml:space="preserve"> Alexander den Ruijter </t>
  </si>
  <si>
    <t xml:space="preserve"> Alexandra Cojocaru </t>
  </si>
  <si>
    <t xml:space="preserve"> Alexandra Poungoura </t>
  </si>
  <si>
    <t xml:space="preserve"> Alexandre Lauwers </t>
  </si>
  <si>
    <t xml:space="preserve"> Alexandru Stanga </t>
  </si>
  <si>
    <t xml:space="preserve"> Aly Genena </t>
  </si>
  <si>
    <t xml:space="preserve"> Amandine Vautier </t>
  </si>
  <si>
    <t xml:space="preserve"> Ampeglio Amore </t>
  </si>
  <si>
    <t xml:space="preserve"> Anabela Reis </t>
  </si>
  <si>
    <t xml:space="preserve"> Andrea Covello </t>
  </si>
  <si>
    <t xml:space="preserve"> Andreas Juettner </t>
  </si>
  <si>
    <t xml:space="preserve"> Andres Williams </t>
  </si>
  <si>
    <t xml:space="preserve"> Anelia Marinova </t>
  </si>
  <si>
    <t xml:space="preserve"> Aneliya Tileva </t>
  </si>
  <si>
    <t xml:space="preserve"> Angela Capolongo </t>
  </si>
  <si>
    <t xml:space="preserve"> Ante Paulinovic </t>
  </si>
  <si>
    <t xml:space="preserve"> Anthony Tuason </t>
  </si>
  <si>
    <t xml:space="preserve"> Arlind Starova </t>
  </si>
  <si>
    <t xml:space="preserve"> Arndt Gerrit Kund </t>
  </si>
  <si>
    <t xml:space="preserve"> Arne De Wal </t>
  </si>
  <si>
    <t xml:space="preserve"> Asta Gerhardt </t>
  </si>
  <si>
    <t xml:space="preserve"> Barbora Jezik </t>
  </si>
  <si>
    <t xml:space="preserve"> Beatrice Avoscan </t>
  </si>
  <si>
    <t xml:space="preserve"> Bernhard Mayr </t>
  </si>
  <si>
    <t xml:space="preserve"> Bogdan Calcan </t>
  </si>
  <si>
    <t xml:space="preserve"> Boris Fallnicht </t>
  </si>
  <si>
    <t xml:space="preserve"> Boris Juncker </t>
  </si>
  <si>
    <t xml:space="preserve"> Byran Taljaard </t>
  </si>
  <si>
    <t xml:space="preserve"> Camilla Marmoro </t>
  </si>
  <si>
    <t xml:space="preserve"> Carlos Martins </t>
  </si>
  <si>
    <t xml:space="preserve"> Carmine Gabriele </t>
  </si>
  <si>
    <t xml:space="preserve"> Carolina Orgaz </t>
  </si>
  <si>
    <t xml:space="preserve"> Cédric Crelo </t>
  </si>
  <si>
    <t xml:space="preserve"> Chao Wu </t>
  </si>
  <si>
    <t xml:space="preserve"> Christophe Da Silva Ferreira </t>
  </si>
  <si>
    <t xml:space="preserve"> Christophe Frankel </t>
  </si>
  <si>
    <t xml:space="preserve"> Christopher Burke </t>
  </si>
  <si>
    <t xml:space="preserve"> Clemens Blamauer </t>
  </si>
  <si>
    <t xml:space="preserve"> Clément Lavigne </t>
  </si>
  <si>
    <t xml:space="preserve"> Dalia Franicevic </t>
  </si>
  <si>
    <t xml:space="preserve"> Daniela Müller-Bangura </t>
  </si>
  <si>
    <t xml:space="preserve"> Daniele Termite </t>
  </si>
  <si>
    <t xml:space="preserve"> Danilo Densa </t>
  </si>
  <si>
    <t xml:space="preserve"> David Blazquez Vila </t>
  </si>
  <si>
    <t xml:space="preserve"> David Wallace </t>
  </si>
  <si>
    <t xml:space="preserve"> Deborah van Dam </t>
  </si>
  <si>
    <t xml:space="preserve"> Denver Chaplin </t>
  </si>
  <si>
    <t xml:space="preserve"> Diana Zigraiova </t>
  </si>
  <si>
    <t xml:space="preserve"> Diego Felipe Hernandez </t>
  </si>
  <si>
    <t xml:space="preserve"> Diogo Godinho </t>
  </si>
  <si>
    <t xml:space="preserve"> Dominika Gustafsson </t>
  </si>
  <si>
    <t xml:space="preserve"> Dominika Miernik </t>
  </si>
  <si>
    <t xml:space="preserve"> Dora Siklos </t>
  </si>
  <si>
    <t xml:space="preserve"> Durmaz Berber </t>
  </si>
  <si>
    <t xml:space="preserve"> Dusan Kovacevic </t>
  </si>
  <si>
    <t xml:space="preserve"> Efstathios Sofos </t>
  </si>
  <si>
    <t xml:space="preserve"> Elisabetta Vangelista </t>
  </si>
  <si>
    <t xml:space="preserve"> EMA Bloomberg </t>
  </si>
  <si>
    <t xml:space="preserve"> Ermal Hitaj </t>
  </si>
  <si>
    <t xml:space="preserve"> Eurico Ferreira </t>
  </si>
  <si>
    <t xml:space="preserve"> Eva Kinczer </t>
  </si>
  <si>
    <t xml:space="preserve"> Fabio Ruggieri </t>
  </si>
  <si>
    <t xml:space="preserve"> Fábio Vidal </t>
  </si>
  <si>
    <t xml:space="preserve"> Fabrizio Leucari </t>
  </si>
  <si>
    <t xml:space="preserve"> Federica Scalvini </t>
  </si>
  <si>
    <t xml:space="preserve"> Feiran Long </t>
  </si>
  <si>
    <t xml:space="preserve"> Fernando Rodriguez </t>
  </si>
  <si>
    <t xml:space="preserve"> Filipe Janeiro </t>
  </si>
  <si>
    <t xml:space="preserve"> Florian Zinoecker </t>
  </si>
  <si>
    <t xml:space="preserve"> Francis Dassyras </t>
  </si>
  <si>
    <t xml:space="preserve"> Funding Bloomberg </t>
  </si>
  <si>
    <t xml:space="preserve"> Gabriela Balbas </t>
  </si>
  <si>
    <t xml:space="preserve"> Gabriela Olariu </t>
  </si>
  <si>
    <t xml:space="preserve"> Gaspar Fernandez </t>
  </si>
  <si>
    <t xml:space="preserve"> George Kladeftiras </t>
  </si>
  <si>
    <t xml:space="preserve"> George Matlock </t>
  </si>
  <si>
    <t xml:space="preserve"> Géraldine Huertas </t>
  </si>
  <si>
    <t xml:space="preserve"> Gergely Hudecz </t>
  </si>
  <si>
    <t xml:space="preserve"> Giovanni Callegari </t>
  </si>
  <si>
    <t xml:space="preserve"> Giulia Fusi </t>
  </si>
  <si>
    <t xml:space="preserve"> Gordon Moar </t>
  </si>
  <si>
    <t xml:space="preserve"> Graciela Schiliuk </t>
  </si>
  <si>
    <t xml:space="preserve"> Gvidas Dominauskas </t>
  </si>
  <si>
    <t xml:space="preserve"> Hicham Dawad </t>
  </si>
  <si>
    <t xml:space="preserve"> Igor Smud </t>
  </si>
  <si>
    <t xml:space="preserve"> Ilyana Yasko </t>
  </si>
  <si>
    <t xml:space="preserve"> Ioana Luca </t>
  </si>
  <si>
    <t xml:space="preserve"> Ioannis Vazouras </t>
  </si>
  <si>
    <t xml:space="preserve"> Ivan Semerdjiev </t>
  </si>
  <si>
    <t xml:space="preserve"> Jakez Jusot </t>
  </si>
  <si>
    <t xml:space="preserve"> Jasper Aerts </t>
  </si>
  <si>
    <t xml:space="preserve"> Jean-Baptiste Tavernier </t>
  </si>
  <si>
    <t xml:space="preserve"> Jemima Peppel-Srebrny </t>
  </si>
  <si>
    <t xml:space="preserve"> Jeni Pentesescu </t>
  </si>
  <si>
    <t xml:space="preserve"> Jenny Sellin </t>
  </si>
  <si>
    <t xml:space="preserve"> Jens Lapointe-Rohde </t>
  </si>
  <si>
    <t xml:space="preserve"> Joana Martins </t>
  </si>
  <si>
    <t xml:space="preserve"> Joao Giao </t>
  </si>
  <si>
    <t xml:space="preserve"> John Goossen </t>
  </si>
  <si>
    <t xml:space="preserve"> Jose Cunha </t>
  </si>
  <si>
    <t xml:space="preserve"> Josselin Hebert </t>
  </si>
  <si>
    <t xml:space="preserve"> Juan Sole </t>
  </si>
  <si>
    <t xml:space="preserve"> Juliana Dahl </t>
  </si>
  <si>
    <t xml:space="preserve"> Julie Zhou </t>
  </si>
  <si>
    <t xml:space="preserve"> Jürgen Klaus </t>
  </si>
  <si>
    <t xml:space="preserve"> Kai Behrens </t>
  </si>
  <si>
    <t xml:space="preserve"> Kai Hennen </t>
  </si>
  <si>
    <t xml:space="preserve"> Kalin Anev Janse </t>
  </si>
  <si>
    <t xml:space="preserve"> Kallirroi Kapetanaki </t>
  </si>
  <si>
    <t xml:space="preserve"> Kamila Slawinska </t>
  </si>
  <si>
    <t xml:space="preserve"> Kari Korhonen </t>
  </si>
  <si>
    <t xml:space="preserve"> Karol Siskind </t>
  </si>
  <si>
    <t xml:space="preserve"> Karolina Matuszewska-Pautsch </t>
  </si>
  <si>
    <t xml:space="preserve"> Katarina Gumanova </t>
  </si>
  <si>
    <t xml:space="preserve"> Katerina Arvaniti </t>
  </si>
  <si>
    <t xml:space="preserve"> Konstantinos Theodoridis </t>
  </si>
  <si>
    <t xml:space="preserve"> Laura Weisz </t>
  </si>
  <si>
    <t xml:space="preserve"> Laure Salducci </t>
  </si>
  <si>
    <t xml:space="preserve"> Leticia Lucas </t>
  </si>
  <si>
    <t xml:space="preserve"> Liga Pleiksne </t>
  </si>
  <si>
    <t xml:space="preserve"> Lluis Sanchis I Herrero </t>
  </si>
  <si>
    <t xml:space="preserve"> Loïc Morand </t>
  </si>
  <si>
    <t xml:space="preserve"> Lorenzo Ricci </t>
  </si>
  <si>
    <t xml:space="preserve"> Loukas Kaskarelis </t>
  </si>
  <si>
    <t xml:space="preserve"> Luca Barbazza </t>
  </si>
  <si>
    <t xml:space="preserve"> Luca Zavalloni </t>
  </si>
  <si>
    <t xml:space="preserve"> Maja Djurickovic </t>
  </si>
  <si>
    <t xml:space="preserve"> Marc Demey </t>
  </si>
  <si>
    <t xml:space="preserve"> Marcel Mosch </t>
  </si>
  <si>
    <t xml:space="preserve"> Marco Onofri </t>
  </si>
  <si>
    <t xml:space="preserve"> Maria Kakogiannaki </t>
  </si>
  <si>
    <t xml:space="preserve"> Maria Kampa </t>
  </si>
  <si>
    <t xml:space="preserve"> Maria Kartcheva </t>
  </si>
  <si>
    <t xml:space="preserve"> Maria Luisa Martos </t>
  </si>
  <si>
    <t xml:space="preserve"> Maria Wilk </t>
  </si>
  <si>
    <t xml:space="preserve"> Marialena Athanasopoulou </t>
  </si>
  <si>
    <t xml:space="preserve"> Mario Prodi </t>
  </si>
  <si>
    <t xml:space="preserve"> Marion Courbis </t>
  </si>
  <si>
    <t xml:space="preserve"> Marion Salines </t>
  </si>
  <si>
    <t xml:space="preserve"> Marius Marsanu </t>
  </si>
  <si>
    <t xml:space="preserve"> Marko Mravlak </t>
  </si>
  <si>
    <t xml:space="preserve"> Markus Sewenig </t>
  </si>
  <si>
    <t xml:space="preserve"> Marta Espinosa Barcena </t>
  </si>
  <si>
    <t xml:space="preserve"> Martin Iseringhausen </t>
  </si>
  <si>
    <t xml:space="preserve"> Martin Rey </t>
  </si>
  <si>
    <t xml:space="preserve"> Martin Rohar </t>
  </si>
  <si>
    <t xml:space="preserve"> Mathias Skrutkowski </t>
  </si>
  <si>
    <t xml:space="preserve"> Matjaz Susec </t>
  </si>
  <si>
    <t xml:space="preserve"> Matthias Gnewuch </t>
  </si>
  <si>
    <t xml:space="preserve"> Matthieu Bellon </t>
  </si>
  <si>
    <t xml:space="preserve"> Mattia Osvaldo Picarelli </t>
  </si>
  <si>
    <t xml:space="preserve"> Mayumi Takagi </t>
  </si>
  <si>
    <t xml:space="preserve"> Media Panels </t>
  </si>
  <si>
    <t xml:space="preserve"> Michael Kuehl </t>
  </si>
  <si>
    <t xml:space="preserve"> Michal Kianicka </t>
  </si>
  <si>
    <t xml:space="preserve"> Midori Koiizuka </t>
  </si>
  <si>
    <t xml:space="preserve"> Miglena Lecheva </t>
  </si>
  <si>
    <t xml:space="preserve"> Miguel Angel Gavilan Rubio </t>
  </si>
  <si>
    <t xml:space="preserve"> Misina Cato </t>
  </si>
  <si>
    <t xml:space="preserve"> Mohamed Arfaoui </t>
  </si>
  <si>
    <t xml:space="preserve"> Nathalya Chaves </t>
  </si>
  <si>
    <t xml:space="preserve"> Nicola Giammarioli </t>
  </si>
  <si>
    <t xml:space="preserve"> Nicoletta Mascher </t>
  </si>
  <si>
    <t xml:space="preserve"> Nikola Andrejevic </t>
  </si>
  <si>
    <t xml:space="preserve"> Niyat Habtemariam </t>
  </si>
  <si>
    <t xml:space="preserve"> Nonso Enemuoh </t>
  </si>
  <si>
    <t xml:space="preserve"> Olga Francova </t>
  </si>
  <si>
    <t xml:space="preserve"> Olivia Verdetti </t>
  </si>
  <si>
    <t xml:space="preserve"> Olivier PUJAL </t>
  </si>
  <si>
    <t xml:space="preserve"> Orsolya Nagy </t>
  </si>
  <si>
    <t xml:space="preserve"> Panayota Bakalakou </t>
  </si>
  <si>
    <t xml:space="preserve"> Paolo Fioretti </t>
  </si>
  <si>
    <t xml:space="preserve"> Pascal Frey </t>
  </si>
  <si>
    <t xml:space="preserve"> Philip Kluge </t>
  </si>
  <si>
    <t xml:space="preserve"> Pierre Gramegna </t>
  </si>
  <si>
    <t xml:space="preserve"> Pilar Castrillo </t>
  </si>
  <si>
    <t xml:space="preserve"> Polyxeni Mitropoulou </t>
  </si>
  <si>
    <t xml:space="preserve"> Priyanka Singh </t>
  </si>
  <si>
    <t xml:space="preserve"> Raluca Coman </t>
  </si>
  <si>
    <t xml:space="preserve"> Rana Jalilova </t>
  </si>
  <si>
    <t xml:space="preserve"> Raquel Calero </t>
  </si>
  <si>
    <t xml:space="preserve"> Reda Machkour </t>
  </si>
  <si>
    <t xml:space="preserve"> Robert Blotevogel </t>
  </si>
  <si>
    <t xml:space="preserve"> Robert Kraemer </t>
  </si>
  <si>
    <t xml:space="preserve"> Roberta Cardani </t>
  </si>
  <si>
    <t xml:space="preserve"> Rogelio Rodriguez </t>
  </si>
  <si>
    <t xml:space="preserve"> Rolf Strauch </t>
  </si>
  <si>
    <t xml:space="preserve"> Sara Aabling-Thomsen </t>
  </si>
  <si>
    <t xml:space="preserve"> Sara Alonso </t>
  </si>
  <si>
    <t xml:space="preserve"> Sarah Fouqueray-Carrick </t>
  </si>
  <si>
    <t xml:space="preserve"> Sebastien Haus </t>
  </si>
  <si>
    <t xml:space="preserve"> Sebastien Levy </t>
  </si>
  <si>
    <t xml:space="preserve"> Sharon Bowman </t>
  </si>
  <si>
    <t xml:space="preserve"> Sigrid Arlen </t>
  </si>
  <si>
    <t xml:space="preserve"> Silke Weiss </t>
  </si>
  <si>
    <t xml:space="preserve"> Silvia Calò </t>
  </si>
  <si>
    <t xml:space="preserve"> Sofie De Beule-Roloff </t>
  </si>
  <si>
    <t xml:space="preserve"> Sotirios Giannoulis </t>
  </si>
  <si>
    <t xml:space="preserve"> Stefano Bertozzi </t>
  </si>
  <si>
    <t xml:space="preserve"> Stefano Finesi </t>
  </si>
  <si>
    <t xml:space="preserve"> Stephane Vincent </t>
  </si>
  <si>
    <t xml:space="preserve"> Steve Houmenou </t>
  </si>
  <si>
    <t xml:space="preserve"> Sven Clauw </t>
  </si>
  <si>
    <t xml:space="preserve"> Tatjana Zaksek </t>
  </si>
  <si>
    <t xml:space="preserve"> Terri Allington </t>
  </si>
  <si>
    <t xml:space="preserve"> Thiago Fauvrelle </t>
  </si>
  <si>
    <t xml:space="preserve"> Thomas Messerer </t>
  </si>
  <si>
    <t xml:space="preserve"> Thomas Pies </t>
  </si>
  <si>
    <t xml:space="preserve"> Thomas Ritter </t>
  </si>
  <si>
    <t xml:space="preserve"> Vasco Campilho </t>
  </si>
  <si>
    <t xml:space="preserve"> Vasiliki Michou </t>
  </si>
  <si>
    <t xml:space="preserve"> Vaya Polymerou </t>
  </si>
  <si>
    <t xml:space="preserve"> Violeta Klyviene </t>
  </si>
  <si>
    <t xml:space="preserve"> Vlad Skovorodov </t>
  </si>
  <si>
    <t xml:space="preserve"> William Hyldedahl </t>
  </si>
  <si>
    <t xml:space="preserve"> Wim Van Aken </t>
  </si>
  <si>
    <t xml:space="preserve"> Yana Djoneva </t>
  </si>
  <si>
    <t xml:space="preserve"> Yasin Mimir </t>
  </si>
  <si>
    <t xml:space="preserve"> Yasser Abdoulaye </t>
  </si>
  <si>
    <t xml:space="preserve"> Yerbolat Rakhmetov </t>
  </si>
  <si>
    <t xml:space="preserve"> Zsolt Fehér </t>
  </si>
  <si>
    <t>Internal approvers from the General Counsel department provide their approval within the remit of their legal and procurement mandate.</t>
  </si>
  <si>
    <t>FORCASTED BUDGET SPLIT</t>
  </si>
  <si>
    <t>Discipline:</t>
  </si>
  <si>
    <t xml:space="preserve">1 - Financial services </t>
  </si>
  <si>
    <t>2 - IT services</t>
  </si>
  <si>
    <t>3 - Corporate services</t>
  </si>
  <si>
    <t>4 - Banking and economic services</t>
  </si>
  <si>
    <t>Category Number:</t>
  </si>
  <si>
    <t>1 -  Financial instruments  </t>
  </si>
  <si>
    <t>5 -  IT financial systems  </t>
  </si>
  <si>
    <t>13 -  Communications  </t>
  </si>
  <si>
    <t>31 -  Macro-economic and financial risk assessment and evaluation of financial assistance programmes </t>
  </si>
  <si>
    <t>2 -  Market infrastructure  </t>
  </si>
  <si>
    <t>6 -  IT Security  </t>
  </si>
  <si>
    <t>14 -  Human resources and organisation </t>
  </si>
  <si>
    <t>32 -  Macro-economic and financial sector data analysis and systems  </t>
  </si>
  <si>
    <t>3 -  Capital markets functions </t>
  </si>
  <si>
    <t>7 -  Enterprise / IT architecture and infrastructure  </t>
  </si>
  <si>
    <t>15 -  Internal audit </t>
  </si>
  <si>
    <t>33 -  Common Single Resolution Fund backstop, Direct Recapitalisation Instrument and repayment capacity assessment  </t>
  </si>
  <si>
    <t>4 -  Risk management </t>
  </si>
  <si>
    <t>8 -  Outsourced service providers and cloud services  </t>
  </si>
  <si>
    <t>16 -  Administration, controls and compliance </t>
  </si>
  <si>
    <t>34 -  Bank restructuring, non-performing loans disposal, asset management companies and distressed asset management  </t>
  </si>
  <si>
    <t>9 -  Application development </t>
  </si>
  <si>
    <t>17 -  Insurance advisory </t>
  </si>
  <si>
    <t>35 -  Banking sector’s future developments like Fintech, BigTech, business model evolution </t>
  </si>
  <si>
    <t>10 -  Digital transformation </t>
  </si>
  <si>
    <t>18 -  Procurement </t>
  </si>
  <si>
    <t>11 -  ERP platforms  </t>
  </si>
  <si>
    <t>19 -  Economic policy review, development and evaluation  </t>
  </si>
  <si>
    <t>12 -  Microsoft applications  </t>
  </si>
  <si>
    <t>20 -  Corporate governance </t>
  </si>
  <si>
    <t>21 -  Internal policies, processes and internal control  </t>
  </si>
  <si>
    <t>22 -  Records management  </t>
  </si>
  <si>
    <t>23 -  Data governance  </t>
  </si>
  <si>
    <t>24 -  Information security  </t>
  </si>
  <si>
    <t>25 -  Environmental, social and governance framework  </t>
  </si>
  <si>
    <t>26 -  Strategy development and performance management  </t>
  </si>
  <si>
    <t>27 -  Project portfolio, programme and project management  </t>
  </si>
  <si>
    <t>28 -  Business analysis  </t>
  </si>
  <si>
    <t>29 -  Change management  </t>
  </si>
  <si>
    <t>30 -  Physical security </t>
  </si>
  <si>
    <t xml:space="preserve">For Action: Contract with  -  -  PLANT </t>
  </si>
  <si>
    <t>0.@esm.europa.eu</t>
  </si>
  <si>
    <t>You have selected 'Deviated procedure' as your sourcing type. This means that this contract is resulting from a tender that deviates from the standard rules applicable under the Procurement Policy applying one of the exceptions in Article 6 of the Procurement Policy. If this is not the case, please return to the sourcing type selection screen to select a different sourcing type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</si>
</sst>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_-\ #,##0.00_-;\-\ #,##0.00_-;_-\ &quot;-&quot;??_-;_-@_-"/>
  </numFmts>
  <fonts count="19" x14ac:knownFonts="1">
    <font>
      <sz val="11"/>
      <color theme="1"/>
      <name val="Calibri"/>
      <family val="2"/>
      <scheme val="minor"/>
    </font>
    <font>
      <sz val="8"/>
      <color theme="1"/>
      <name val="Calibri"/>
      <family val="2"/>
      <scheme val="minor"/>
    </font>
    <font>
      <sz val="11"/>
      <color rgb="FF000000"/>
      <name val="Calibri"/>
      <family val="2"/>
    </font>
    <font>
      <sz val="11"/>
      <color theme="1"/>
      <name val="Calibri"/>
      <family val="2"/>
    </font>
    <font>
      <b/>
      <sz val="11"/>
      <name val="Bell MT"/>
      <family val="1"/>
    </font>
    <font>
      <sz val="11"/>
      <color theme="1"/>
      <name val="Calibri"/>
      <family val="2"/>
      <scheme val="minor"/>
    </font>
    <font>
      <u/>
      <sz val="11"/>
      <color theme="10"/>
      <name val="Calibri"/>
      <family val="2"/>
      <scheme val="minor"/>
    </font>
    <font>
      <b/>
      <u/>
      <sz val="18"/>
      <color rgb="FF0070C0"/>
      <name val="Calibri"/>
      <family val="2"/>
      <scheme val="minor"/>
    </font>
    <font>
      <sz val="11"/>
      <color rgb="FFFF0000"/>
      <name val="Calibri"/>
      <family val="2"/>
      <scheme val="minor"/>
    </font>
    <font>
      <b/>
      <sz val="11"/>
      <color rgb="FF000000"/>
      <name val="Calibri"/>
      <family val="2"/>
    </font>
    <font>
      <b/>
      <sz val="11"/>
      <color rgb="FF0000FF"/>
      <name val="Calibri"/>
      <family val="2"/>
    </font>
    <font>
      <b/>
      <sz val="11"/>
      <color theme="1"/>
      <name val="Calibri"/>
      <family val="2"/>
      <scheme val="minor"/>
    </font>
    <font>
      <sz val="24"/>
      <color theme="1"/>
      <name val="Arial Black"/>
      <family val="2"/>
    </font>
    <font>
      <sz val="16"/>
      <color theme="1"/>
      <name val="Arial Black"/>
      <family val="2"/>
    </font>
    <font>
      <sz val="11"/>
      <color theme="1"/>
      <name val="Arial Black"/>
      <family val="2"/>
    </font>
    <font>
      <sz val="26"/>
      <color theme="1"/>
      <name val="Arial Black"/>
      <family val="2"/>
    </font>
    <font>
      <sz val="28"/>
      <color theme="1"/>
      <name val="Arial Black"/>
      <family val="2"/>
    </font>
    <font>
      <b/>
      <sz val="11"/>
      <color rgb="FF7030A0"/>
      <name val="Calibri"/>
      <family val="2"/>
      <scheme val="minor"/>
    </font>
    <font>
      <b/>
      <sz val="11"/>
      <color theme="1"/>
      <name val="Arial Black"/>
      <family val="2"/>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2"/>
        <bgColor indexed="64"/>
      </patternFill>
    </fill>
    <fill>
      <patternFill patternType="solid">
        <fgColor theme="7" tint="0.79998168889431442"/>
        <bgColor indexed="64"/>
      </patternFill>
    </fill>
  </fills>
  <borders count="43">
    <border>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double">
        <color theme="1"/>
      </left>
      <right style="double">
        <color theme="1"/>
      </right>
      <top style="double">
        <color theme="1"/>
      </top>
      <bottom style="double">
        <color theme="1"/>
      </bottom>
      <diagonal/>
    </border>
    <border>
      <left style="medium">
        <color indexed="64"/>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double">
        <color theme="1"/>
      </left>
      <right style="double">
        <color theme="1"/>
      </right>
      <top style="double">
        <color theme="1"/>
      </top>
      <bottom/>
      <diagonal/>
    </border>
    <border>
      <left style="double">
        <color theme="1"/>
      </left>
      <right style="double">
        <color theme="1"/>
      </right>
      <top/>
      <bottom/>
      <diagonal/>
    </border>
    <border>
      <left style="double">
        <color theme="1"/>
      </left>
      <right style="double">
        <color theme="1"/>
      </right>
      <top/>
      <bottom style="double">
        <color theme="1"/>
      </bottom>
      <diagonal/>
    </border>
    <border>
      <left/>
      <right style="double">
        <color theme="1"/>
      </right>
      <top style="double">
        <color theme="1"/>
      </top>
      <bottom style="double">
        <color theme="1"/>
      </bottom>
      <diagonal/>
    </border>
    <border>
      <left style="double">
        <color indexed="64"/>
      </left>
      <right style="double">
        <color indexed="64"/>
      </right>
      <top style="double">
        <color indexed="64"/>
      </top>
      <bottom style="double">
        <color indexed="64"/>
      </bottom>
      <diagonal/>
    </border>
    <border>
      <left style="double">
        <color theme="1"/>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ck">
        <color indexed="64"/>
      </bottom>
      <diagonal/>
    </border>
    <border>
      <left style="medium">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ouble">
        <color indexed="64"/>
      </left>
      <right style="double">
        <color theme="1"/>
      </right>
      <top style="double">
        <color theme="1"/>
      </top>
      <bottom style="double">
        <color indexed="64"/>
      </bottom>
      <diagonal/>
    </border>
    <border>
      <left style="double">
        <color rgb="FFC00000"/>
      </left>
      <right/>
      <top style="double">
        <color rgb="FFC00000"/>
      </top>
      <bottom style="double">
        <color rgb="FFC00000"/>
      </bottom>
      <diagonal/>
    </border>
    <border>
      <left/>
      <right style="double">
        <color rgb="FFC00000"/>
      </right>
      <top style="double">
        <color rgb="FFC00000"/>
      </top>
      <bottom style="double">
        <color rgb="FFC00000"/>
      </bottom>
      <diagonal/>
    </border>
    <border>
      <left style="double">
        <color theme="1"/>
      </left>
      <right style="double">
        <color theme="1"/>
      </right>
      <top style="double">
        <color rgb="FFC00000"/>
      </top>
      <bottom style="double">
        <color theme="1"/>
      </bottom>
      <diagonal/>
    </border>
    <border>
      <left/>
      <right style="double">
        <color theme="1"/>
      </right>
      <top/>
      <bottom style="double">
        <color rgb="FF000000"/>
      </bottom>
      <diagonal/>
    </border>
    <border>
      <left style="double">
        <color theme="1"/>
      </left>
      <right/>
      <top style="double">
        <color theme="1"/>
      </top>
      <bottom/>
      <diagonal/>
    </border>
    <border>
      <left/>
      <right style="double">
        <color theme="1"/>
      </right>
      <top style="double">
        <color theme="1"/>
      </top>
      <bottom/>
      <diagonal/>
    </border>
    <border>
      <left/>
      <right style="double">
        <color theme="1"/>
      </right>
      <top/>
      <bottom/>
      <diagonal/>
    </border>
    <border>
      <left/>
      <right style="double">
        <color theme="1"/>
      </right>
      <top/>
      <bottom style="double">
        <color theme="1"/>
      </bottom>
      <diagonal/>
    </border>
    <border>
      <left/>
      <right/>
      <top style="double">
        <color rgb="FFC00000"/>
      </top>
      <bottom/>
      <diagonal/>
    </border>
    <border>
      <left/>
      <right/>
      <top style="double">
        <color rgb="FFC00000"/>
      </top>
      <bottom style="double">
        <color rgb="FFC00000"/>
      </bottom>
      <diagonal/>
    </border>
    <border>
      <left style="thin">
        <color indexed="64"/>
      </left>
      <right/>
      <top style="thin">
        <color indexed="64"/>
      </top>
      <bottom/>
      <diagonal/>
    </border>
    <border>
      <left style="thin">
        <color theme="2" tint="-0.499984740745262"/>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164" fontId="5" fillId="0" borderId="0" applyFont="0" applyFill="0" applyBorder="0" applyAlignment="0" applyProtection="0"/>
    <xf numFmtId="0" fontId="6" fillId="0" borderId="0" applyNumberFormat="0" applyFill="0" applyBorder="0" applyAlignment="0" applyProtection="0"/>
  </cellStyleXfs>
  <cellXfs count="109">
    <xf numFmtId="0" fontId="0" fillId="0" borderId="0" xfId="0"/>
    <xf numFmtId="0" fontId="0" fillId="2" borderId="0" xfId="0" applyFill="1"/>
    <xf numFmtId="0" fontId="1" fillId="0" borderId="0" xfId="0" applyFont="1" applyAlignment="1">
      <alignment vertical="center"/>
    </xf>
    <xf numFmtId="0" fontId="0" fillId="0" borderId="1" xfId="0" applyBorder="1"/>
    <xf numFmtId="0" fontId="0" fillId="0" borderId="2" xfId="0" applyBorder="1"/>
    <xf numFmtId="0" fontId="0" fillId="0" borderId="3" xfId="0" applyBorder="1"/>
    <xf numFmtId="0" fontId="0" fillId="0" borderId="4" xfId="0" applyBorder="1"/>
    <xf numFmtId="0" fontId="4" fillId="2" borderId="5" xfId="0" applyFont="1" applyFill="1" applyBorder="1" applyAlignment="1">
      <alignment vertical="center"/>
    </xf>
    <xf numFmtId="0" fontId="0" fillId="2" borderId="6" xfId="0" applyFill="1" applyBorder="1"/>
    <xf numFmtId="0" fontId="0" fillId="2" borderId="7" xfId="0" applyFill="1" applyBorder="1"/>
    <xf numFmtId="0" fontId="0" fillId="0" borderId="0" xfId="0" applyAlignment="1">
      <alignment vertical="center"/>
    </xf>
    <xf numFmtId="0" fontId="0" fillId="0" borderId="0" xfId="0" applyAlignment="1">
      <alignment wrapText="1"/>
    </xf>
    <xf numFmtId="0" fontId="0" fillId="0" borderId="0" xfId="0" quotePrefix="1"/>
    <xf numFmtId="0" fontId="0" fillId="0" borderId="0" xfId="0" applyAlignment="1">
      <alignment vertical="center" wrapText="1"/>
    </xf>
    <xf numFmtId="0" fontId="0" fillId="0" borderId="0" xfId="0" applyAlignment="1">
      <alignment horizontal="left" vertical="top"/>
    </xf>
    <xf numFmtId="0" fontId="8" fillId="3" borderId="0" xfId="0" applyFont="1" applyFill="1"/>
    <xf numFmtId="0" fontId="4" fillId="2" borderId="5" xfId="0" applyFont="1" applyFill="1" applyBorder="1" applyAlignment="1">
      <alignment vertical="center" wrapText="1"/>
    </xf>
    <xf numFmtId="0" fontId="6" fillId="0" borderId="0" xfId="2"/>
    <xf numFmtId="0" fontId="2" fillId="2" borderId="5" xfId="0" applyFont="1" applyFill="1" applyBorder="1" applyAlignment="1" applyProtection="1">
      <alignment vertical="center"/>
      <protection locked="0"/>
    </xf>
    <xf numFmtId="0" fontId="3" fillId="2" borderId="5" xfId="0" applyFont="1" applyFill="1" applyBorder="1" applyAlignment="1" applyProtection="1">
      <alignment vertical="center"/>
      <protection locked="0"/>
    </xf>
    <xf numFmtId="0" fontId="3" fillId="2" borderId="5" xfId="0" applyFont="1" applyFill="1" applyBorder="1" applyAlignment="1" applyProtection="1">
      <alignment vertical="center" wrapText="1"/>
      <protection locked="0"/>
    </xf>
    <xf numFmtId="0" fontId="3" fillId="2" borderId="5" xfId="0" applyFont="1" applyFill="1" applyBorder="1" applyAlignment="1" applyProtection="1">
      <alignment vertical="top" wrapText="1"/>
      <protection locked="0"/>
    </xf>
    <xf numFmtId="165" fontId="2" fillId="2" borderId="5" xfId="1" applyNumberFormat="1" applyFont="1" applyFill="1" applyBorder="1" applyAlignment="1" applyProtection="1">
      <alignment horizontal="left" vertical="center"/>
      <protection locked="0"/>
    </xf>
    <xf numFmtId="0" fontId="2" fillId="2" borderId="5" xfId="0" applyFont="1" applyFill="1" applyBorder="1" applyAlignment="1" applyProtection="1">
      <alignment horizontal="left" vertical="center"/>
      <protection locked="0"/>
    </xf>
    <xf numFmtId="0" fontId="3" fillId="2" borderId="5" xfId="0" applyFont="1" applyFill="1" applyBorder="1" applyAlignment="1" applyProtection="1">
      <alignment horizontal="left" vertical="center"/>
      <protection locked="0"/>
    </xf>
    <xf numFmtId="0" fontId="6" fillId="2" borderId="5" xfId="2" applyFill="1" applyBorder="1" applyAlignment="1" applyProtection="1">
      <alignment vertical="center" wrapText="1"/>
      <protection locked="0"/>
    </xf>
    <xf numFmtId="14" fontId="3" fillId="2" borderId="5" xfId="0" applyNumberFormat="1" applyFont="1" applyFill="1" applyBorder="1" applyAlignment="1" applyProtection="1">
      <alignment horizontal="left" vertical="center"/>
      <protection locked="0"/>
    </xf>
    <xf numFmtId="0" fontId="3" fillId="2" borderId="12" xfId="0" applyFont="1" applyFill="1" applyBorder="1" applyAlignment="1" applyProtection="1">
      <alignment vertical="center"/>
      <protection locked="0"/>
    </xf>
    <xf numFmtId="0" fontId="4" fillId="2" borderId="10" xfId="0" applyFont="1" applyFill="1" applyBorder="1" applyAlignment="1">
      <alignment horizontal="left" vertical="center"/>
    </xf>
    <xf numFmtId="14" fontId="0" fillId="0" borderId="0" xfId="0" applyNumberFormat="1"/>
    <xf numFmtId="0" fontId="0" fillId="4" borderId="0" xfId="0" applyFill="1" applyProtection="1">
      <protection locked="0"/>
    </xf>
    <xf numFmtId="0" fontId="0" fillId="4" borderId="0" xfId="0" applyFill="1"/>
    <xf numFmtId="0" fontId="15" fillId="4" borderId="0" xfId="0" applyFont="1" applyFill="1" applyAlignment="1">
      <alignment vertical="center"/>
    </xf>
    <xf numFmtId="0" fontId="16" fillId="4" borderId="0" xfId="0" applyFont="1" applyFill="1" applyAlignment="1">
      <alignment vertical="center"/>
    </xf>
    <xf numFmtId="0" fontId="17" fillId="4" borderId="0" xfId="0" applyFont="1" applyFill="1"/>
    <xf numFmtId="0" fontId="3" fillId="2" borderId="11" xfId="0" applyFont="1" applyFill="1" applyBorder="1" applyAlignment="1" applyProtection="1">
      <alignment vertical="center"/>
      <protection locked="0"/>
    </xf>
    <xf numFmtId="0" fontId="3" fillId="2" borderId="27" xfId="0" applyFont="1" applyFill="1" applyBorder="1" applyAlignment="1" applyProtection="1">
      <alignment vertical="center"/>
      <protection locked="0"/>
    </xf>
    <xf numFmtId="0" fontId="4" fillId="2" borderId="30" xfId="0" applyFont="1" applyFill="1" applyBorder="1" applyAlignment="1">
      <alignment vertical="center"/>
    </xf>
    <xf numFmtId="0" fontId="0" fillId="0" borderId="13" xfId="0" applyBorder="1"/>
    <xf numFmtId="0" fontId="0" fillId="0" borderId="32" xfId="0" applyBorder="1"/>
    <xf numFmtId="0" fontId="0" fillId="0" borderId="33" xfId="0" applyBorder="1"/>
    <xf numFmtId="0" fontId="0" fillId="0" borderId="34" xfId="0" applyBorder="1"/>
    <xf numFmtId="0" fontId="0" fillId="0" borderId="35" xfId="0" applyBorder="1"/>
    <xf numFmtId="0" fontId="2" fillId="2" borderId="10" xfId="0" applyFont="1" applyFill="1" applyBorder="1" applyAlignment="1" applyProtection="1">
      <alignment horizontal="left" vertical="center"/>
      <protection locked="0"/>
    </xf>
    <xf numFmtId="0" fontId="2" fillId="2" borderId="31" xfId="0" applyFont="1" applyFill="1" applyBorder="1" applyAlignment="1" applyProtection="1">
      <alignment vertical="center" wrapText="1"/>
      <protection locked="0"/>
    </xf>
    <xf numFmtId="0" fontId="2" fillId="2" borderId="31" xfId="0" applyFont="1" applyFill="1" applyBorder="1" applyAlignment="1" applyProtection="1">
      <alignment vertical="center"/>
      <protection locked="0"/>
    </xf>
    <xf numFmtId="0" fontId="4" fillId="2" borderId="30" xfId="0" applyFont="1" applyFill="1" applyBorder="1" applyAlignment="1">
      <alignment horizontal="left" vertical="center"/>
    </xf>
    <xf numFmtId="0" fontId="0" fillId="5" borderId="0" xfId="0" applyFill="1"/>
    <xf numFmtId="0" fontId="14" fillId="5" borderId="36" xfId="0" applyFont="1" applyFill="1" applyBorder="1" applyAlignment="1">
      <alignment horizontal="left" vertical="center" wrapText="1"/>
    </xf>
    <xf numFmtId="0" fontId="4" fillId="5" borderId="0" xfId="0" applyFont="1" applyFill="1" applyAlignment="1">
      <alignment vertical="center"/>
    </xf>
    <xf numFmtId="0" fontId="2" fillId="5" borderId="0" xfId="0" applyFont="1" applyFill="1" applyAlignment="1" applyProtection="1">
      <alignment vertical="center"/>
      <protection locked="0"/>
    </xf>
    <xf numFmtId="0" fontId="2" fillId="5" borderId="0" xfId="0" applyFont="1" applyFill="1" applyAlignment="1" applyProtection="1">
      <alignment vertical="center" wrapText="1"/>
      <protection locked="0"/>
    </xf>
    <xf numFmtId="0" fontId="7" fillId="5" borderId="0" xfId="2" applyFont="1" applyFill="1" applyBorder="1" applyAlignment="1">
      <alignment horizontal="center" vertical="center"/>
    </xf>
    <xf numFmtId="0" fontId="3" fillId="5" borderId="0" xfId="0" applyFont="1" applyFill="1" applyAlignment="1" applyProtection="1">
      <alignment vertical="center"/>
      <protection locked="0"/>
    </xf>
    <xf numFmtId="0" fontId="3" fillId="5" borderId="0" xfId="0" applyFont="1" applyFill="1" applyAlignment="1" applyProtection="1">
      <alignment vertical="center" wrapText="1"/>
      <protection locked="0"/>
    </xf>
    <xf numFmtId="0" fontId="3" fillId="5" borderId="0" xfId="0" applyFont="1" applyFill="1" applyAlignment="1">
      <alignment vertical="center" wrapText="1"/>
    </xf>
    <xf numFmtId="0" fontId="3" fillId="5" borderId="0" xfId="0" applyFont="1" applyFill="1" applyAlignment="1" applyProtection="1">
      <alignment vertical="top" wrapText="1"/>
      <protection locked="0"/>
    </xf>
    <xf numFmtId="0" fontId="0" fillId="5" borderId="0" xfId="0" applyFill="1" applyAlignment="1">
      <alignment horizontal="center"/>
    </xf>
    <xf numFmtId="165" fontId="2" fillId="5" borderId="0" xfId="1" applyNumberFormat="1" applyFont="1" applyFill="1" applyBorder="1" applyAlignment="1" applyProtection="1">
      <alignment horizontal="left" vertical="center"/>
      <protection locked="0"/>
    </xf>
    <xf numFmtId="0" fontId="3" fillId="5" borderId="0" xfId="0" applyFont="1" applyFill="1" applyAlignment="1">
      <alignment vertical="top" wrapText="1"/>
    </xf>
    <xf numFmtId="0" fontId="4" fillId="5" borderId="0" xfId="0" applyFont="1" applyFill="1" applyAlignment="1">
      <alignment horizontal="left" vertical="center"/>
    </xf>
    <xf numFmtId="0" fontId="3" fillId="5" borderId="0" xfId="0" applyFont="1" applyFill="1" applyAlignment="1" applyProtection="1">
      <alignment horizontal="left" vertical="center"/>
      <protection locked="0"/>
    </xf>
    <xf numFmtId="0" fontId="2" fillId="5" borderId="0" xfId="0" applyFont="1" applyFill="1" applyAlignment="1" applyProtection="1">
      <alignment horizontal="left" vertical="center"/>
      <protection locked="0"/>
    </xf>
    <xf numFmtId="0" fontId="6" fillId="5" borderId="0" xfId="2" applyFill="1" applyBorder="1" applyAlignment="1" applyProtection="1">
      <alignment vertical="center" wrapText="1"/>
      <protection locked="0"/>
    </xf>
    <xf numFmtId="14" fontId="3" fillId="5" borderId="0" xfId="0" applyNumberFormat="1" applyFont="1" applyFill="1" applyAlignment="1" applyProtection="1">
      <alignment horizontal="left" vertical="center"/>
      <protection locked="0"/>
    </xf>
    <xf numFmtId="0" fontId="0" fillId="5" borderId="0" xfId="0" applyFill="1" applyAlignment="1">
      <alignment vertical="center" wrapText="1"/>
    </xf>
    <xf numFmtId="0" fontId="0" fillId="5" borderId="0" xfId="0" applyFill="1" applyAlignment="1">
      <alignment horizontal="left" vertical="center" wrapText="1"/>
    </xf>
    <xf numFmtId="0" fontId="0" fillId="5" borderId="0" xfId="0" applyFill="1" applyProtection="1">
      <protection locked="0"/>
    </xf>
    <xf numFmtId="0" fontId="2" fillId="2" borderId="38" xfId="0" applyFont="1" applyFill="1" applyBorder="1" applyAlignment="1" applyProtection="1">
      <alignment vertical="center"/>
      <protection locked="0"/>
    </xf>
    <xf numFmtId="165" fontId="0" fillId="2" borderId="38" xfId="1" applyNumberFormat="1" applyFont="1" applyFill="1" applyBorder="1" applyAlignment="1" applyProtection="1">
      <alignment horizontal="left" vertical="center" wrapText="1"/>
      <protection locked="0"/>
    </xf>
    <xf numFmtId="0" fontId="2" fillId="2" borderId="38" xfId="0" applyFont="1" applyFill="1" applyBorder="1" applyAlignment="1" applyProtection="1">
      <alignment horizontal="left" vertical="center"/>
      <protection locked="0"/>
    </xf>
    <xf numFmtId="0" fontId="6" fillId="2" borderId="39" xfId="2" applyFill="1" applyBorder="1" applyAlignment="1" applyProtection="1">
      <alignment horizontal="left" vertical="center" wrapText="1"/>
      <protection locked="0"/>
    </xf>
    <xf numFmtId="14" fontId="0" fillId="2" borderId="39" xfId="0" applyNumberFormat="1" applyFill="1" applyBorder="1" applyAlignment="1" applyProtection="1">
      <alignment horizontal="left" vertical="center" wrapText="1"/>
      <protection locked="0"/>
    </xf>
    <xf numFmtId="0" fontId="18" fillId="4" borderId="0" xfId="0" applyFont="1" applyFill="1" applyAlignment="1">
      <alignment vertical="center"/>
    </xf>
    <xf numFmtId="0" fontId="18" fillId="4" borderId="0" xfId="0" applyFont="1" applyFill="1" applyAlignment="1">
      <alignment horizontal="left" vertical="center"/>
    </xf>
    <xf numFmtId="0" fontId="7" fillId="4" borderId="0" xfId="2" applyFont="1" applyFill="1" applyBorder="1" applyAlignment="1">
      <alignment horizontal="center" vertical="center"/>
    </xf>
    <xf numFmtId="0" fontId="0" fillId="0" borderId="40" xfId="0" applyBorder="1"/>
    <xf numFmtId="0" fontId="0" fillId="0" borderId="41" xfId="0" applyBorder="1"/>
    <xf numFmtId="0" fontId="0" fillId="0" borderId="42" xfId="0" applyBorder="1"/>
    <xf numFmtId="0" fontId="4" fillId="6" borderId="30" xfId="0" applyFont="1" applyFill="1" applyBorder="1" applyAlignment="1">
      <alignment vertical="center"/>
    </xf>
    <xf numFmtId="0" fontId="2" fillId="2" borderId="38" xfId="0" applyFont="1" applyFill="1" applyBorder="1" applyAlignment="1" applyProtection="1">
      <alignment vertical="center" wrapText="1"/>
      <protection locked="0"/>
    </xf>
    <xf numFmtId="0" fontId="2" fillId="2" borderId="38" xfId="0" applyFont="1" applyFill="1" applyBorder="1" applyAlignment="1" applyProtection="1">
      <alignment horizontal="left" vertical="center" wrapText="1"/>
      <protection locked="0"/>
    </xf>
    <xf numFmtId="165" fontId="2" fillId="5" borderId="0" xfId="1" applyNumberFormat="1" applyFont="1" applyFill="1" applyBorder="1" applyAlignment="1" applyProtection="1">
      <alignment horizontal="left" vertical="center" wrapText="1"/>
      <protection locked="0"/>
    </xf>
    <xf numFmtId="49" fontId="0" fillId="2" borderId="38" xfId="1" applyNumberFormat="1" applyFont="1" applyFill="1" applyBorder="1" applyAlignment="1" applyProtection="1">
      <alignment horizontal="left" vertical="center" wrapText="1"/>
      <protection locked="0"/>
    </xf>
    <xf numFmtId="0" fontId="12" fillId="4" borderId="14" xfId="0" applyFont="1" applyFill="1" applyBorder="1" applyAlignment="1">
      <alignment horizontal="center"/>
    </xf>
    <xf numFmtId="0" fontId="13" fillId="4" borderId="15" xfId="0" applyFont="1" applyFill="1" applyBorder="1" applyAlignment="1">
      <alignment horizontal="center"/>
    </xf>
    <xf numFmtId="0" fontId="13" fillId="4" borderId="16" xfId="0" applyFont="1" applyFill="1" applyBorder="1" applyAlignment="1">
      <alignment horizontal="center"/>
    </xf>
    <xf numFmtId="0" fontId="13" fillId="4" borderId="17" xfId="0" applyFont="1" applyFill="1" applyBorder="1" applyAlignment="1">
      <alignment horizontal="center"/>
    </xf>
    <xf numFmtId="0" fontId="13" fillId="4" borderId="18" xfId="0" applyFont="1" applyFill="1" applyBorder="1" applyAlignment="1">
      <alignment horizontal="center"/>
    </xf>
    <xf numFmtId="0" fontId="14" fillId="4" borderId="19" xfId="0" applyFont="1" applyFill="1" applyBorder="1" applyAlignment="1">
      <alignment horizontal="center" vertical="center"/>
    </xf>
    <xf numFmtId="0" fontId="14" fillId="4" borderId="20" xfId="0" applyFont="1" applyFill="1" applyBorder="1" applyAlignment="1">
      <alignment horizontal="center" vertical="center"/>
    </xf>
    <xf numFmtId="0" fontId="14" fillId="4" borderId="21" xfId="0" applyFont="1" applyFill="1" applyBorder="1" applyAlignment="1">
      <alignment horizontal="center" vertical="center"/>
    </xf>
    <xf numFmtId="0" fontId="14" fillId="4" borderId="22" xfId="0" applyFont="1" applyFill="1" applyBorder="1" applyAlignment="1">
      <alignment horizontal="center" vertical="center"/>
    </xf>
    <xf numFmtId="0" fontId="14" fillId="4" borderId="0" xfId="0" applyFont="1" applyFill="1" applyAlignment="1">
      <alignment horizontal="center" vertical="center"/>
    </xf>
    <xf numFmtId="0" fontId="14" fillId="4" borderId="23" xfId="0" applyFont="1" applyFill="1" applyBorder="1" applyAlignment="1">
      <alignment horizontal="center" vertical="center"/>
    </xf>
    <xf numFmtId="0" fontId="0" fillId="4" borderId="0" xfId="0" applyFill="1" applyAlignment="1">
      <alignment horizontal="center"/>
    </xf>
    <xf numFmtId="0" fontId="14" fillId="4" borderId="24" xfId="0" applyFont="1" applyFill="1" applyBorder="1" applyAlignment="1">
      <alignment horizontal="center" vertical="center"/>
    </xf>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17" fillId="4" borderId="0" xfId="0" applyFont="1" applyFill="1" applyAlignment="1">
      <alignment horizontal="left" wrapText="1"/>
    </xf>
    <xf numFmtId="0" fontId="18" fillId="4" borderId="0" xfId="0" applyFont="1" applyFill="1" applyAlignment="1">
      <alignment horizontal="left" vertical="center"/>
    </xf>
    <xf numFmtId="0" fontId="0" fillId="5" borderId="0" xfId="0" applyFill="1" applyAlignment="1">
      <alignment horizontal="left" wrapText="1"/>
    </xf>
    <xf numFmtId="0" fontId="14" fillId="4" borderId="28" xfId="0" applyFont="1" applyFill="1" applyBorder="1" applyAlignment="1">
      <alignment horizontal="left" vertical="center" wrapText="1"/>
    </xf>
    <xf numFmtId="0" fontId="14" fillId="4" borderId="37" xfId="0" applyFont="1" applyFill="1" applyBorder="1" applyAlignment="1">
      <alignment horizontal="left" vertical="center" wrapText="1"/>
    </xf>
    <xf numFmtId="0" fontId="14" fillId="4" borderId="29" xfId="0" applyFont="1" applyFill="1" applyBorder="1" applyAlignment="1">
      <alignment horizontal="left" vertical="center" wrapText="1"/>
    </xf>
    <xf numFmtId="0" fontId="0" fillId="0" borderId="0" xfId="0" applyAlignment="1">
      <alignment horizontal="left" wrapText="1"/>
    </xf>
    <xf numFmtId="0" fontId="4" fillId="2" borderId="8" xfId="0" applyFont="1" applyFill="1" applyBorder="1" applyAlignment="1">
      <alignment horizontal="left" vertical="center"/>
    </xf>
    <xf numFmtId="0" fontId="4" fillId="2" borderId="9" xfId="0" applyFont="1" applyFill="1" applyBorder="1" applyAlignment="1">
      <alignment horizontal="left" vertical="center"/>
    </xf>
    <xf numFmtId="0" fontId="4" fillId="2" borderId="10" xfId="0" applyFont="1" applyFill="1" applyBorder="1" applyAlignment="1">
      <alignment horizontal="left" vertical="center"/>
    </xf>
  </cellXfs>
  <cellStyles count="3">
    <cellStyle name="Comma" xfId="1" builtinId="3"/>
    <cellStyle name="Hyperlink" xfId="2" builtinId="8"/>
    <cellStyle name="Normal" xfId="0" builtinId="0"/>
  </cellStyles>
  <dxfs count="2">
    <dxf>
      <font>
        <color theme="2"/>
      </font>
      <fill>
        <patternFill>
          <bgColor theme="2"/>
        </patternFill>
      </fill>
      <border>
        <left/>
        <right/>
        <top/>
        <bottom/>
        <vertical/>
        <horizontal/>
      </border>
    </dxf>
    <dxf>
      <font>
        <color theme="2"/>
      </font>
      <fill>
        <patternFill>
          <bgColor theme="2"/>
        </patternFill>
      </fill>
      <border>
        <right/>
        <top/>
        <bottom/>
        <vertical/>
        <horizontal/>
      </border>
    </dxf>
  </dxfs>
  <tableStyles count="0" defaultTableStyle="TableStyleMedium2" defaultPivotStyle="PivotStyleLight16"/>
  <colors>
    <mruColors>
      <color rgb="FFE0E0E0"/>
      <color rgb="FFCFCF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38100</xdr:colOff>
          <xdr:row>14</xdr:row>
          <xdr:rowOff>361950</xdr:rowOff>
        </xdr:from>
        <xdr:to>
          <xdr:col>7</xdr:col>
          <xdr:colOff>247650</xdr:colOff>
          <xdr:row>15</xdr:row>
          <xdr:rowOff>323850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0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Public tender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31750</xdr:colOff>
          <xdr:row>7</xdr:row>
          <xdr:rowOff>171450</xdr:rowOff>
        </xdr:from>
        <xdr:to>
          <xdr:col>7</xdr:col>
          <xdr:colOff>241300</xdr:colOff>
          <xdr:row>8</xdr:row>
          <xdr:rowOff>323850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0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Cascade (consultancy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50800</xdr:colOff>
          <xdr:row>16</xdr:row>
          <xdr:rowOff>361950</xdr:rowOff>
        </xdr:from>
        <xdr:to>
          <xdr:col>7</xdr:col>
          <xdr:colOff>260350</xdr:colOff>
          <xdr:row>17</xdr:row>
          <xdr:rowOff>323850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0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Public tender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15</xdr:row>
          <xdr:rowOff>355600</xdr:rowOff>
        </xdr:from>
        <xdr:to>
          <xdr:col>7</xdr:col>
          <xdr:colOff>247650</xdr:colOff>
          <xdr:row>16</xdr:row>
          <xdr:rowOff>317500</xdr:rowOff>
        </xdr:to>
        <xdr:sp macro="" textlink="">
          <xdr:nvSpPr>
            <xdr:cNvPr id="5150" name="Button 30"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Public tender (restricted)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31750</xdr:colOff>
          <xdr:row>8</xdr:row>
          <xdr:rowOff>355600</xdr:rowOff>
        </xdr:from>
        <xdr:to>
          <xdr:col>7</xdr:col>
          <xdr:colOff>241300</xdr:colOff>
          <xdr:row>9</xdr:row>
          <xdr:rowOff>317500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Commission procedure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9</xdr:row>
          <xdr:rowOff>361950</xdr:rowOff>
        </xdr:from>
        <xdr:to>
          <xdr:col>7</xdr:col>
          <xdr:colOff>247650</xdr:colOff>
          <xdr:row>10</xdr:row>
          <xdr:rowOff>323850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Deviated procedure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10</xdr:row>
          <xdr:rowOff>361950</xdr:rowOff>
        </xdr:from>
        <xdr:to>
          <xdr:col>7</xdr:col>
          <xdr:colOff>247650</xdr:colOff>
          <xdr:row>11</xdr:row>
          <xdr:rowOff>323850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EPCO procedure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11</xdr:row>
          <xdr:rowOff>355600</xdr:rowOff>
        </xdr:from>
        <xdr:to>
          <xdr:col>7</xdr:col>
          <xdr:colOff>247650</xdr:colOff>
          <xdr:row>12</xdr:row>
          <xdr:rowOff>317500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Mini-competition (consultancy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12</xdr:row>
          <xdr:rowOff>361950</xdr:rowOff>
        </xdr:from>
        <xdr:to>
          <xdr:col>7</xdr:col>
          <xdr:colOff>247650</xdr:colOff>
          <xdr:row>13</xdr:row>
          <xdr:rowOff>323850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Non-public tender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13</xdr:row>
          <xdr:rowOff>361950</xdr:rowOff>
        </xdr:from>
        <xdr:to>
          <xdr:col>7</xdr:col>
          <xdr:colOff>247650</xdr:colOff>
          <xdr:row>14</xdr:row>
          <xdr:rowOff>323850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Public tender (negotiated)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31750</xdr:colOff>
          <xdr:row>7</xdr:row>
          <xdr:rowOff>171450</xdr:rowOff>
        </xdr:from>
        <xdr:to>
          <xdr:col>19</xdr:col>
          <xdr:colOff>241300</xdr:colOff>
          <xdr:row>8</xdr:row>
          <xdr:rowOff>323850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Commission procedure (FA Implementation)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31750</xdr:colOff>
          <xdr:row>8</xdr:row>
          <xdr:rowOff>374650</xdr:rowOff>
        </xdr:from>
        <xdr:to>
          <xdr:col>19</xdr:col>
          <xdr:colOff>241300</xdr:colOff>
          <xdr:row>9</xdr:row>
          <xdr:rowOff>336550</xdr:rowOff>
        </xdr:to>
        <xdr:sp macro="" textlink="">
          <xdr:nvSpPr>
            <xdr:cNvPr id="5158" name="Button 38"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EPCO procedure (FA Implementation)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31750</xdr:colOff>
          <xdr:row>9</xdr:row>
          <xdr:rowOff>374650</xdr:rowOff>
        </xdr:from>
        <xdr:to>
          <xdr:col>19</xdr:col>
          <xdr:colOff>241300</xdr:colOff>
          <xdr:row>10</xdr:row>
          <xdr:rowOff>336550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FA Implementation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12700</xdr:colOff>
          <xdr:row>14</xdr:row>
          <xdr:rowOff>190500</xdr:rowOff>
        </xdr:from>
        <xdr:to>
          <xdr:col>25</xdr:col>
          <xdr:colOff>222250</xdr:colOff>
          <xdr:row>15</xdr:row>
          <xdr:rowOff>152400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0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Commission procedure (Request for participation)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19050</xdr:colOff>
          <xdr:row>9</xdr:row>
          <xdr:rowOff>374650</xdr:rowOff>
        </xdr:from>
        <xdr:to>
          <xdr:col>25</xdr:col>
          <xdr:colOff>228600</xdr:colOff>
          <xdr:row>10</xdr:row>
          <xdr:rowOff>336550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0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Direct award &lt; €50K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19050</xdr:colOff>
          <xdr:row>8</xdr:row>
          <xdr:rowOff>374650</xdr:rowOff>
        </xdr:from>
        <xdr:to>
          <xdr:col>25</xdr:col>
          <xdr:colOff>228600</xdr:colOff>
          <xdr:row>9</xdr:row>
          <xdr:rowOff>336550</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0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Direct award - Exclusion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31750</xdr:colOff>
          <xdr:row>7</xdr:row>
          <xdr:rowOff>171450</xdr:rowOff>
        </xdr:from>
        <xdr:to>
          <xdr:col>25</xdr:col>
          <xdr:colOff>241300</xdr:colOff>
          <xdr:row>8</xdr:row>
          <xdr:rowOff>323850</xdr:rowOff>
        </xdr:to>
        <xdr:sp macro="" textlink="">
          <xdr:nvSpPr>
            <xdr:cNvPr id="5163" name="Button 43" hidden="1">
              <a:extLst>
                <a:ext uri="{63B3BB69-23CF-44E3-9099-C40C66FF867C}">
                  <a14:compatExt spid="_x0000_s5163"/>
                </a:ext>
                <a:ext uri="{FF2B5EF4-FFF2-40B4-BE49-F238E27FC236}">
                  <a16:creationId xmlns:a16="http://schemas.microsoft.com/office/drawing/2014/main" id="{00000000-0008-0000-0000-00002B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Direct award - Exception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19050</xdr:colOff>
          <xdr:row>10</xdr:row>
          <xdr:rowOff>361950</xdr:rowOff>
        </xdr:from>
        <xdr:to>
          <xdr:col>25</xdr:col>
          <xdr:colOff>228600</xdr:colOff>
          <xdr:row>11</xdr:row>
          <xdr:rowOff>323850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0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EFSF contract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0</xdr:colOff>
          <xdr:row>15</xdr:row>
          <xdr:rowOff>190500</xdr:rowOff>
        </xdr:from>
        <xdr:to>
          <xdr:col>25</xdr:col>
          <xdr:colOff>209550</xdr:colOff>
          <xdr:row>16</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0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EPCO procedure (Request for participation)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12700</xdr:colOff>
          <xdr:row>16</xdr:row>
          <xdr:rowOff>190500</xdr:rowOff>
        </xdr:from>
        <xdr:to>
          <xdr:col>25</xdr:col>
          <xdr:colOff>222250</xdr:colOff>
          <xdr:row>17</xdr:row>
          <xdr:rowOff>152400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0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Non-Commercial Arrangement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38100</xdr:colOff>
          <xdr:row>8</xdr:row>
          <xdr:rowOff>2722</xdr:rowOff>
        </xdr:from>
        <xdr:to>
          <xdr:col>13</xdr:col>
          <xdr:colOff>247650</xdr:colOff>
          <xdr:row>8</xdr:row>
          <xdr:rowOff>336550</xdr:rowOff>
        </xdr:to>
        <xdr:sp macro="" textlink="">
          <xdr:nvSpPr>
            <xdr:cNvPr id="5167" name="Button 47" hidden="1">
              <a:extLst>
                <a:ext uri="{63B3BB69-23CF-44E3-9099-C40C66FF867C}">
                  <a14:compatExt spid="_x0000_s5167"/>
                </a:ext>
                <a:ext uri="{FF2B5EF4-FFF2-40B4-BE49-F238E27FC236}">
                  <a16:creationId xmlns:a16="http://schemas.microsoft.com/office/drawing/2014/main" id="{00000000-0008-0000-0000-00002F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Contract extension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38100</xdr:colOff>
          <xdr:row>8</xdr:row>
          <xdr:rowOff>361950</xdr:rowOff>
        </xdr:from>
        <xdr:to>
          <xdr:col>13</xdr:col>
          <xdr:colOff>247650</xdr:colOff>
          <xdr:row>9</xdr:row>
          <xdr:rowOff>323850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0000-000030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Contract modification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50800</xdr:colOff>
          <xdr:row>10</xdr:row>
          <xdr:rowOff>0</xdr:rowOff>
        </xdr:from>
        <xdr:to>
          <xdr:col>13</xdr:col>
          <xdr:colOff>260350</xdr:colOff>
          <xdr:row>10</xdr:row>
          <xdr:rowOff>342900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0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Contract modification and extension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50800</xdr:colOff>
          <xdr:row>11</xdr:row>
          <xdr:rowOff>0</xdr:rowOff>
        </xdr:from>
        <xdr:to>
          <xdr:col>13</xdr:col>
          <xdr:colOff>260350</xdr:colOff>
          <xdr:row>11</xdr:row>
          <xdr:rowOff>342900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0000-000032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Contract modification (Termination)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12700</xdr:colOff>
          <xdr:row>1</xdr:row>
          <xdr:rowOff>146050</xdr:rowOff>
        </xdr:from>
        <xdr:to>
          <xdr:col>5</xdr:col>
          <xdr:colOff>0</xdr:colOff>
          <xdr:row>2</xdr:row>
          <xdr:rowOff>298450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000-000033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OPTIMIZE FOR LAPTOP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12700</xdr:colOff>
          <xdr:row>1</xdr:row>
          <xdr:rowOff>152400</xdr:rowOff>
        </xdr:from>
        <xdr:to>
          <xdr:col>26</xdr:col>
          <xdr:colOff>12700</xdr:colOff>
          <xdr:row>2</xdr:row>
          <xdr:rowOff>304800</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0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OPTIMIZE FOR WIDE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50800</xdr:colOff>
          <xdr:row>17</xdr:row>
          <xdr:rowOff>374650</xdr:rowOff>
        </xdr:from>
        <xdr:to>
          <xdr:col>7</xdr:col>
          <xdr:colOff>260350</xdr:colOff>
          <xdr:row>18</xdr:row>
          <xdr:rowOff>336550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000-00003514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100" b="1" i="0" u="none" strike="noStrike" baseline="0">
                  <a:solidFill>
                    <a:srgbClr val="000000"/>
                  </a:solidFill>
                  <a:latin typeface="Calibri"/>
                  <a:ea typeface="Calibri"/>
                  <a:cs typeface="Calibri"/>
                </a:rPr>
                <a:t>Public tender (negotiated with full publication)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19050</xdr:colOff>
      <xdr:row>90</xdr:row>
      <xdr:rowOff>66675</xdr:rowOff>
    </xdr:from>
    <xdr:to>
      <xdr:col>4</xdr:col>
      <xdr:colOff>1123950</xdr:colOff>
      <xdr:row>103</xdr:row>
      <xdr:rowOff>238125</xdr:rowOff>
    </xdr:to>
    <xdr:sp macro="" textlink="">
      <xdr:nvSpPr>
        <xdr:cNvPr id="18" name="Rectangle 17">
          <a:extLst>
            <a:ext uri="{FF2B5EF4-FFF2-40B4-BE49-F238E27FC236}">
              <a16:creationId xmlns:a16="http://schemas.microsoft.com/office/drawing/2014/main" id="{00000000-0008-0000-0100-000012000000}"/>
            </a:ext>
          </a:extLst>
        </xdr:cNvPr>
        <xdr:cNvSpPr/>
      </xdr:nvSpPr>
      <xdr:spPr>
        <a:xfrm>
          <a:off x="10401300" y="33661350"/>
          <a:ext cx="1104900" cy="29527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0</xdr:colOff>
      <xdr:row>91</xdr:row>
      <xdr:rowOff>38101</xdr:rowOff>
    </xdr:from>
    <xdr:to>
      <xdr:col>5</xdr:col>
      <xdr:colOff>1076325</xdr:colOff>
      <xdr:row>91</xdr:row>
      <xdr:rowOff>495301</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11515725" y="38157151"/>
          <a:ext cx="1076325" cy="457200"/>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1123950</xdr:colOff>
      <xdr:row>90</xdr:row>
      <xdr:rowOff>28575</xdr:rowOff>
    </xdr:from>
    <xdr:to>
      <xdr:col>6</xdr:col>
      <xdr:colOff>66674</xdr:colOff>
      <xdr:row>93</xdr:row>
      <xdr:rowOff>123825</xdr:rowOff>
    </xdr:to>
    <xdr:sp macro="" textlink="">
      <xdr:nvSpPr>
        <xdr:cNvPr id="9" name="Rectangle 8">
          <a:extLst>
            <a:ext uri="{FF2B5EF4-FFF2-40B4-BE49-F238E27FC236}">
              <a16:creationId xmlns:a16="http://schemas.microsoft.com/office/drawing/2014/main" id="{00000000-0008-0000-0100-000009000000}"/>
            </a:ext>
          </a:extLst>
        </xdr:cNvPr>
        <xdr:cNvSpPr/>
      </xdr:nvSpPr>
      <xdr:spPr>
        <a:xfrm>
          <a:off x="11506200" y="38023800"/>
          <a:ext cx="1209674" cy="8477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4</xdr:col>
          <xdr:colOff>57150</xdr:colOff>
          <xdr:row>86</xdr:row>
          <xdr:rowOff>57150</xdr:rowOff>
        </xdr:to>
        <xdr:sp macro="" textlink="">
          <xdr:nvSpPr>
            <xdr:cNvPr id="1029" name="Tempcombo"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46038</xdr:colOff>
          <xdr:row>15</xdr:row>
          <xdr:rowOff>38100</xdr:rowOff>
        </xdr:from>
        <xdr:to>
          <xdr:col>4</xdr:col>
          <xdr:colOff>1084263</xdr:colOff>
          <xdr:row>15</xdr:row>
          <xdr:rowOff>857250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0926519" y="6070600"/>
              <a:ext cx="1038225" cy="819150"/>
              <a:chOff x="9515475" y="3762375"/>
              <a:chExt cx="1057275" cy="819150"/>
            </a:xfrm>
          </xdr:grpSpPr>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9515475" y="3762375"/>
                <a:ext cx="1057275" cy="24765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From Till</a:t>
                </a:r>
              </a:p>
            </xdr:txBody>
          </xdr:sp>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9515475" y="4038600"/>
                <a:ext cx="1057275" cy="24765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New end date</a:t>
                </a:r>
              </a:p>
            </xdr:txBody>
          </xdr:sp>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9515475" y="4333875"/>
                <a:ext cx="1057275" cy="24765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No Impact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85725</xdr:colOff>
          <xdr:row>0</xdr:row>
          <xdr:rowOff>180975</xdr:rowOff>
        </xdr:from>
        <xdr:to>
          <xdr:col>6</xdr:col>
          <xdr:colOff>95250</xdr:colOff>
          <xdr:row>1</xdr:row>
          <xdr:rowOff>428625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PREPARE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91</xdr:row>
          <xdr:rowOff>266700</xdr:rowOff>
        </xdr:from>
        <xdr:to>
          <xdr:col>4</xdr:col>
          <xdr:colOff>1095375</xdr:colOff>
          <xdr:row>91</xdr:row>
          <xdr:rowOff>476250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FF"/>
                  </a:solidFill>
                  <a:latin typeface="Calibri"/>
                  <a:ea typeface="Calibri"/>
                  <a:cs typeface="Calibri"/>
                </a:rPr>
                <a:t>Hide tip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91</xdr:row>
          <xdr:rowOff>38100</xdr:rowOff>
        </xdr:from>
        <xdr:to>
          <xdr:col>4</xdr:col>
          <xdr:colOff>1095375</xdr:colOff>
          <xdr:row>91</xdr:row>
          <xdr:rowOff>238125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FF"/>
                  </a:solidFill>
                  <a:latin typeface="Calibri"/>
                  <a:ea typeface="Calibri"/>
                  <a:cs typeface="Calibri"/>
                </a:rPr>
                <a:t>Show tip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85725</xdr:colOff>
          <xdr:row>1</xdr:row>
          <xdr:rowOff>476250</xdr:rowOff>
        </xdr:from>
        <xdr:to>
          <xdr:col>6</xdr:col>
          <xdr:colOff>95250</xdr:colOff>
          <xdr:row>2</xdr:row>
          <xdr:rowOff>38100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RETURN TO SOURCING TYPE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23</xdr:row>
          <xdr:rowOff>409575</xdr:rowOff>
        </xdr:from>
        <xdr:to>
          <xdr:col>4</xdr:col>
          <xdr:colOff>1095375</xdr:colOff>
          <xdr:row>23</xdr:row>
          <xdr:rowOff>1695450</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10918581" y="11387748"/>
              <a:ext cx="1057275" cy="1285875"/>
              <a:chOff x="9972675" y="9067882"/>
              <a:chExt cx="1057275" cy="1285869"/>
            </a:xfrm>
          </xdr:grpSpPr>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9972675" y="9391650"/>
                <a:ext cx="1057275" cy="24765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Increase</a:t>
                </a:r>
              </a:p>
            </xdr:txBody>
          </xdr:sp>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9972675" y="9744075"/>
                <a:ext cx="1057275" cy="24765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Decrease</a:t>
                </a:r>
              </a:p>
            </xdr:txBody>
          </xdr:sp>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9972675" y="10106101"/>
                <a:ext cx="1057275" cy="24765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No Impact</a:t>
                </a:r>
              </a:p>
            </xdr:txBody>
          </xdr:sp>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9972675" y="9067882"/>
                <a:ext cx="1057275" cy="24765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CT Increase </a:t>
                </a:r>
              </a:p>
            </xdr:txBody>
          </xdr:sp>
        </xdr:grpSp>
        <xdr:clientData fPrintsWithSheet="0"/>
      </xdr:twoCellAnchor>
    </mc:Choice>
    <mc:Fallback/>
  </mc:AlternateContent>
  <xdr:twoCellAnchor>
    <xdr:from>
      <xdr:col>4</xdr:col>
      <xdr:colOff>9525</xdr:colOff>
      <xdr:row>21</xdr:row>
      <xdr:rowOff>476249</xdr:rowOff>
    </xdr:from>
    <xdr:to>
      <xdr:col>5</xdr:col>
      <xdr:colOff>38100</xdr:colOff>
      <xdr:row>25</xdr:row>
      <xdr:rowOff>190499</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10391775" y="10772774"/>
          <a:ext cx="1162050" cy="300037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31750</xdr:colOff>
      <xdr:row>15</xdr:row>
      <xdr:rowOff>301625</xdr:rowOff>
    </xdr:from>
    <xdr:to>
      <xdr:col>5</xdr:col>
      <xdr:colOff>161925</xdr:colOff>
      <xdr:row>16</xdr:row>
      <xdr:rowOff>19050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10414000" y="6302375"/>
          <a:ext cx="1263650" cy="603250"/>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4</xdr:col>
          <xdr:colOff>1128713</xdr:colOff>
          <xdr:row>91</xdr:row>
          <xdr:rowOff>41275</xdr:rowOff>
        </xdr:from>
        <xdr:to>
          <xdr:col>5</xdr:col>
          <xdr:colOff>1030397</xdr:colOff>
          <xdr:row>91</xdr:row>
          <xdr:rowOff>479426</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12009194" y="37848198"/>
              <a:ext cx="1086203" cy="438151"/>
              <a:chOff x="10666413" y="34337625"/>
              <a:chExt cx="1035159" cy="438151"/>
            </a:xfrm>
          </xdr:grpSpPr>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10666413" y="34337625"/>
                <a:ext cx="1035159" cy="219075"/>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Consultant</a:t>
                </a:r>
              </a:p>
            </xdr:txBody>
          </xdr:sp>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10666413" y="34566226"/>
                <a:ext cx="1035159" cy="20955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Not Consultant</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0</xdr:colOff>
      <xdr:row>1</xdr:row>
      <xdr:rowOff>9525</xdr:rowOff>
    </xdr:from>
    <xdr:to>
      <xdr:col>8</xdr:col>
      <xdr:colOff>56762</xdr:colOff>
      <xdr:row>5</xdr:row>
      <xdr:rowOff>76007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2533650" y="209550"/>
          <a:ext cx="3104762" cy="1542857"/>
        </a:xfrm>
        <a:prstGeom prst="rect">
          <a:avLst/>
        </a:prstGeom>
      </xdr:spPr>
    </xdr:pic>
    <xdr:clientData/>
  </xdr:twoCellAnchor>
  <xdr:twoCellAnchor editAs="oneCell">
    <xdr:from>
      <xdr:col>12</xdr:col>
      <xdr:colOff>0</xdr:colOff>
      <xdr:row>1</xdr:row>
      <xdr:rowOff>0</xdr:rowOff>
    </xdr:from>
    <xdr:to>
      <xdr:col>16</xdr:col>
      <xdr:colOff>494933</xdr:colOff>
      <xdr:row>2</xdr:row>
      <xdr:rowOff>190449</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8020050" y="200025"/>
          <a:ext cx="2933333" cy="4095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31750</xdr:colOff>
          <xdr:row>2</xdr:row>
          <xdr:rowOff>127000</xdr:rowOff>
        </xdr:from>
        <xdr:to>
          <xdr:col>0</xdr:col>
          <xdr:colOff>2603500</xdr:colOff>
          <xdr:row>4</xdr:row>
          <xdr:rowOff>146050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PREPARE APPROVAL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57150</xdr:rowOff>
        </xdr:from>
        <xdr:to>
          <xdr:col>0</xdr:col>
          <xdr:colOff>2609850</xdr:colOff>
          <xdr:row>2</xdr:row>
          <xdr:rowOff>69850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RETURN TO PREVIOUS SCREEN</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2.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2.xml"/><Relationship Id="rId16"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image" Target="../media/image1.emf"/><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ontrol" Target="../activeX/activeX1.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consultancy_contracts@esm.europa.eu"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36A20-ED2E-4171-B91A-5CC9C241E1F2}">
  <sheetPr codeName="Sheet7"/>
  <dimension ref="A1:Z137"/>
  <sheetViews>
    <sheetView showRowColHeaders="0" topLeftCell="B2" zoomScale="70" zoomScaleNormal="70" workbookViewId="0"/>
  </sheetViews>
  <sheetFormatPr defaultColWidth="9.1796875" defaultRowHeight="14.5" x14ac:dyDescent="0.35"/>
  <cols>
    <col min="1" max="1" width="0" style="31" hidden="1" customWidth="1"/>
    <col min="2" max="16384" width="9.1796875" style="31"/>
  </cols>
  <sheetData>
    <row r="1" spans="1:26" hidden="1" x14ac:dyDescent="0.35">
      <c r="A1" s="30"/>
    </row>
    <row r="2" spans="1:26" x14ac:dyDescent="0.35">
      <c r="A2" s="30"/>
    </row>
    <row r="3" spans="1:26" ht="30" customHeight="1" thickBot="1" x14ac:dyDescent="1.1000000000000001">
      <c r="A3" s="30"/>
      <c r="C3" s="84" t="s">
        <v>2997</v>
      </c>
      <c r="D3" s="84"/>
      <c r="E3" s="84"/>
      <c r="F3" s="84"/>
      <c r="G3" s="84"/>
      <c r="H3" s="84"/>
      <c r="I3" s="84"/>
      <c r="J3" s="84"/>
      <c r="K3" s="84"/>
      <c r="L3" s="84"/>
      <c r="M3" s="84"/>
      <c r="N3" s="84"/>
      <c r="O3" s="84"/>
      <c r="P3" s="84"/>
      <c r="Q3" s="84"/>
      <c r="R3" s="84"/>
      <c r="S3" s="84"/>
      <c r="T3" s="84"/>
      <c r="U3" s="84"/>
      <c r="V3" s="84"/>
      <c r="W3" s="84"/>
      <c r="X3" s="84"/>
      <c r="Y3" s="84"/>
      <c r="Z3" s="84"/>
    </row>
    <row r="4" spans="1:26" ht="30" customHeight="1" thickBot="1" x14ac:dyDescent="0.75">
      <c r="A4" s="30"/>
      <c r="C4" s="85" t="s">
        <v>2998</v>
      </c>
      <c r="D4" s="86"/>
      <c r="E4" s="86"/>
      <c r="F4" s="86"/>
      <c r="G4" s="86"/>
      <c r="H4" s="86"/>
      <c r="I4" s="86"/>
      <c r="J4" s="86"/>
      <c r="K4" s="86"/>
      <c r="L4" s="86"/>
      <c r="M4" s="86"/>
      <c r="N4" s="86"/>
      <c r="O4" s="86"/>
      <c r="P4" s="86"/>
      <c r="Q4" s="86"/>
      <c r="R4" s="86"/>
      <c r="S4" s="86"/>
      <c r="T4" s="86"/>
      <c r="U4" s="86"/>
      <c r="V4" s="86"/>
      <c r="W4" s="86"/>
      <c r="X4" s="86"/>
      <c r="Y4" s="86"/>
      <c r="Z4" s="87"/>
    </row>
    <row r="5" spans="1:26" ht="30" customHeight="1" thickBot="1" x14ac:dyDescent="0.75">
      <c r="A5" s="30"/>
      <c r="C5" s="88"/>
      <c r="D5" s="88"/>
      <c r="E5" s="88"/>
      <c r="F5" s="88"/>
      <c r="G5" s="88"/>
      <c r="H5" s="88"/>
      <c r="I5" s="88"/>
      <c r="J5" s="88"/>
      <c r="K5" s="88"/>
      <c r="L5" s="88"/>
      <c r="M5" s="88"/>
      <c r="N5" s="88"/>
      <c r="O5" s="88"/>
      <c r="P5" s="88"/>
      <c r="Q5" s="88"/>
      <c r="R5" s="88"/>
      <c r="S5" s="88"/>
      <c r="T5" s="88"/>
      <c r="U5" s="88"/>
      <c r="V5" s="88"/>
      <c r="W5" s="88"/>
      <c r="X5" s="88"/>
      <c r="Y5" s="88"/>
      <c r="Z5" s="88"/>
    </row>
    <row r="6" spans="1:26" ht="15" customHeight="1" thickTop="1" x14ac:dyDescent="0.35">
      <c r="A6" s="30"/>
      <c r="C6" s="89" t="s">
        <v>2999</v>
      </c>
      <c r="D6" s="90"/>
      <c r="E6" s="90"/>
      <c r="F6" s="90"/>
      <c r="G6" s="90"/>
      <c r="H6" s="91"/>
      <c r="I6" s="89" t="s">
        <v>3000</v>
      </c>
      <c r="J6" s="90"/>
      <c r="K6" s="90"/>
      <c r="L6" s="90"/>
      <c r="M6" s="90"/>
      <c r="N6" s="91"/>
      <c r="O6" s="89" t="s">
        <v>3001</v>
      </c>
      <c r="P6" s="90"/>
      <c r="Q6" s="90"/>
      <c r="R6" s="90"/>
      <c r="S6" s="90"/>
      <c r="T6" s="91"/>
      <c r="U6" s="89" t="s">
        <v>3002</v>
      </c>
      <c r="V6" s="90"/>
      <c r="W6" s="90"/>
      <c r="X6" s="90"/>
      <c r="Y6" s="90"/>
      <c r="Z6" s="91"/>
    </row>
    <row r="7" spans="1:26" ht="15" customHeight="1" x14ac:dyDescent="0.35">
      <c r="A7" s="30"/>
      <c r="C7" s="92"/>
      <c r="D7" s="93"/>
      <c r="E7" s="93"/>
      <c r="F7" s="93"/>
      <c r="G7" s="93"/>
      <c r="H7" s="94"/>
      <c r="I7" s="92"/>
      <c r="J7" s="93"/>
      <c r="K7" s="93"/>
      <c r="L7" s="93"/>
      <c r="M7" s="93"/>
      <c r="N7" s="94"/>
      <c r="O7" s="92"/>
      <c r="P7" s="93"/>
      <c r="Q7" s="93"/>
      <c r="R7" s="93"/>
      <c r="S7" s="93"/>
      <c r="T7" s="94"/>
      <c r="U7" s="92"/>
      <c r="V7" s="93"/>
      <c r="W7" s="93"/>
      <c r="X7" s="93"/>
      <c r="Y7" s="93"/>
      <c r="Z7" s="94"/>
    </row>
    <row r="8" spans="1:26" x14ac:dyDescent="0.35">
      <c r="A8" s="30"/>
    </row>
    <row r="9" spans="1:26" ht="30" customHeight="1" x14ac:dyDescent="0.35">
      <c r="A9" s="30"/>
      <c r="C9" s="95"/>
      <c r="D9" s="95"/>
      <c r="E9" s="95"/>
      <c r="F9" s="95"/>
      <c r="G9" s="95"/>
      <c r="H9" s="95"/>
      <c r="I9" s="95"/>
      <c r="J9" s="95"/>
      <c r="K9" s="95"/>
      <c r="L9" s="95"/>
      <c r="M9" s="95"/>
      <c r="N9" s="95"/>
      <c r="O9" s="95"/>
      <c r="P9" s="95"/>
      <c r="Q9" s="95"/>
      <c r="R9" s="95"/>
      <c r="S9" s="95"/>
      <c r="T9" s="95"/>
      <c r="U9" s="95"/>
      <c r="V9" s="95"/>
      <c r="W9" s="95"/>
      <c r="X9" s="95"/>
      <c r="Y9" s="95"/>
      <c r="Z9" s="95"/>
    </row>
    <row r="10" spans="1:26" ht="30" customHeight="1" x14ac:dyDescent="0.35">
      <c r="A10" s="30"/>
      <c r="C10" s="95"/>
      <c r="D10" s="95"/>
      <c r="E10" s="95"/>
      <c r="F10" s="95"/>
      <c r="G10" s="95"/>
      <c r="H10" s="95"/>
      <c r="I10" s="95"/>
      <c r="J10" s="95"/>
      <c r="K10" s="95"/>
      <c r="L10" s="95"/>
      <c r="M10" s="95"/>
      <c r="N10" s="95"/>
      <c r="O10" s="95"/>
      <c r="P10" s="95"/>
      <c r="Q10" s="95"/>
      <c r="R10" s="95"/>
      <c r="S10" s="95"/>
      <c r="T10" s="95"/>
      <c r="U10" s="95"/>
      <c r="V10" s="95"/>
      <c r="W10" s="95"/>
      <c r="X10" s="95"/>
      <c r="Y10" s="95"/>
      <c r="Z10" s="95"/>
    </row>
    <row r="11" spans="1:26" ht="30" customHeight="1" x14ac:dyDescent="0.35">
      <c r="A11" s="30"/>
      <c r="C11" s="95"/>
      <c r="D11" s="95"/>
      <c r="E11" s="95"/>
      <c r="F11" s="95"/>
      <c r="G11" s="95"/>
      <c r="H11" s="95"/>
      <c r="I11" s="95"/>
      <c r="J11" s="95"/>
      <c r="K11" s="95"/>
      <c r="L11" s="95"/>
      <c r="M11" s="95"/>
      <c r="N11" s="95"/>
      <c r="O11" s="95"/>
      <c r="P11" s="95"/>
      <c r="Q11" s="95"/>
      <c r="R11" s="95"/>
      <c r="S11" s="95"/>
      <c r="T11" s="95"/>
      <c r="U11" s="95"/>
      <c r="V11" s="95"/>
      <c r="W11" s="95"/>
      <c r="X11" s="95"/>
      <c r="Y11" s="95"/>
      <c r="Z11" s="95"/>
    </row>
    <row r="12" spans="1:26" ht="30" customHeight="1" x14ac:dyDescent="0.35">
      <c r="A12" s="30"/>
      <c r="C12" s="95"/>
      <c r="D12" s="95"/>
      <c r="E12" s="95"/>
      <c r="F12" s="95"/>
      <c r="G12" s="95"/>
      <c r="H12" s="95"/>
      <c r="I12" s="95"/>
      <c r="J12" s="95"/>
      <c r="K12" s="95"/>
      <c r="L12" s="95"/>
      <c r="M12" s="95"/>
      <c r="N12" s="95"/>
      <c r="U12" s="95"/>
      <c r="V12" s="95"/>
      <c r="W12" s="95"/>
      <c r="X12" s="95"/>
      <c r="Y12" s="95"/>
      <c r="Z12" s="95"/>
    </row>
    <row r="13" spans="1:26" ht="30" customHeight="1" thickBot="1" x14ac:dyDescent="0.4">
      <c r="A13" s="30"/>
      <c r="C13" s="95"/>
      <c r="D13" s="95"/>
      <c r="E13" s="95"/>
      <c r="F13" s="95"/>
      <c r="G13" s="95"/>
      <c r="H13" s="95"/>
      <c r="L13" s="32"/>
      <c r="M13" s="32"/>
      <c r="N13" s="32"/>
      <c r="O13" s="32"/>
      <c r="P13" s="32"/>
      <c r="U13" s="95"/>
      <c r="V13" s="95"/>
      <c r="W13" s="95"/>
      <c r="X13" s="95"/>
      <c r="Y13" s="95"/>
      <c r="Z13" s="95"/>
    </row>
    <row r="14" spans="1:26" ht="30" customHeight="1" x14ac:dyDescent="0.35">
      <c r="A14" s="30"/>
      <c r="C14" s="95"/>
      <c r="D14" s="95"/>
      <c r="E14" s="95"/>
      <c r="F14" s="95"/>
      <c r="G14" s="95"/>
      <c r="H14" s="95"/>
      <c r="I14" s="33"/>
      <c r="J14" s="33"/>
      <c r="K14" s="33"/>
      <c r="L14" s="32"/>
      <c r="M14" s="32"/>
      <c r="N14" s="32"/>
      <c r="O14" s="32"/>
      <c r="P14" s="32"/>
      <c r="U14" s="96" t="s">
        <v>3003</v>
      </c>
      <c r="V14" s="97"/>
      <c r="W14" s="97"/>
      <c r="X14" s="97"/>
      <c r="Y14" s="97"/>
      <c r="Z14" s="98"/>
    </row>
    <row r="15" spans="1:26" ht="30" customHeight="1" x14ac:dyDescent="0.35">
      <c r="A15" s="30"/>
      <c r="C15" s="95"/>
      <c r="D15" s="95"/>
      <c r="E15" s="95"/>
      <c r="F15" s="95"/>
      <c r="G15" s="95"/>
      <c r="H15" s="95"/>
      <c r="I15" s="33"/>
      <c r="J15" s="33"/>
      <c r="K15" s="33"/>
      <c r="L15" s="32"/>
      <c r="M15" s="32"/>
      <c r="N15" s="32"/>
      <c r="O15" s="32"/>
      <c r="P15" s="32"/>
      <c r="Q15" s="33"/>
      <c r="R15" s="33"/>
      <c r="S15" s="33"/>
      <c r="U15" s="95"/>
      <c r="V15" s="95"/>
      <c r="W15" s="95"/>
      <c r="X15" s="95"/>
      <c r="Y15" s="95"/>
      <c r="Z15" s="95"/>
    </row>
    <row r="16" spans="1:26" ht="30" customHeight="1" x14ac:dyDescent="0.35">
      <c r="A16" s="30"/>
      <c r="C16" s="95"/>
      <c r="D16" s="95"/>
      <c r="E16" s="95"/>
      <c r="F16" s="95"/>
      <c r="G16" s="95"/>
      <c r="H16" s="95"/>
      <c r="J16" s="99" t="s">
        <v>3004</v>
      </c>
      <c r="K16" s="99"/>
      <c r="L16" s="99"/>
      <c r="M16" s="99"/>
      <c r="N16" s="99"/>
      <c r="O16" s="99"/>
      <c r="P16" s="99"/>
      <c r="Q16" s="99"/>
      <c r="R16" s="99"/>
      <c r="U16" s="95"/>
      <c r="V16" s="95"/>
      <c r="W16" s="95"/>
      <c r="X16" s="95"/>
      <c r="Y16" s="95"/>
      <c r="Z16" s="95"/>
    </row>
    <row r="17" spans="1:26" ht="30" customHeight="1" x14ac:dyDescent="0.35">
      <c r="A17" s="30"/>
      <c r="C17" s="95"/>
      <c r="D17" s="95"/>
      <c r="E17" s="95"/>
      <c r="F17" s="95"/>
      <c r="G17" s="95"/>
      <c r="H17" s="95"/>
      <c r="J17" s="99"/>
      <c r="K17" s="99"/>
      <c r="L17" s="99"/>
      <c r="M17" s="99"/>
      <c r="N17" s="99"/>
      <c r="O17" s="99"/>
      <c r="P17" s="99"/>
      <c r="Q17" s="99"/>
      <c r="R17" s="99"/>
      <c r="U17" s="95"/>
      <c r="V17" s="95"/>
      <c r="W17" s="95"/>
      <c r="X17" s="95"/>
      <c r="Y17" s="95"/>
      <c r="Z17" s="95"/>
    </row>
    <row r="18" spans="1:26" ht="30" customHeight="1" x14ac:dyDescent="0.35">
      <c r="A18" s="30"/>
      <c r="C18" s="95"/>
      <c r="D18" s="95"/>
      <c r="E18" s="95"/>
      <c r="F18" s="95"/>
      <c r="G18" s="95"/>
      <c r="H18" s="95"/>
      <c r="I18" s="34"/>
      <c r="J18" s="99"/>
      <c r="K18" s="99"/>
      <c r="L18" s="99"/>
      <c r="M18" s="99"/>
      <c r="N18" s="99"/>
      <c r="O18" s="99"/>
      <c r="P18" s="99"/>
      <c r="Q18" s="99"/>
      <c r="R18" s="99"/>
      <c r="S18" s="34"/>
      <c r="T18" s="34"/>
      <c r="U18" s="34"/>
      <c r="V18" s="34"/>
      <c r="W18" s="34"/>
      <c r="X18" s="34"/>
      <c r="Y18" s="34"/>
      <c r="Z18" s="34"/>
    </row>
    <row r="19" spans="1:26" ht="30" customHeight="1" x14ac:dyDescent="0.35">
      <c r="A19" s="30"/>
      <c r="C19" s="95"/>
      <c r="D19" s="95"/>
      <c r="E19" s="95"/>
      <c r="F19" s="95"/>
      <c r="G19" s="95"/>
      <c r="H19" s="95"/>
      <c r="I19" s="34"/>
      <c r="J19" s="34"/>
      <c r="K19" s="34"/>
      <c r="L19" s="34"/>
      <c r="M19" s="34"/>
      <c r="N19" s="34"/>
      <c r="O19" s="34"/>
      <c r="P19" s="34"/>
      <c r="Q19" s="34"/>
      <c r="R19" s="34"/>
      <c r="S19" s="34"/>
      <c r="T19" s="34"/>
      <c r="U19" s="34"/>
      <c r="V19" s="34"/>
      <c r="W19" s="34"/>
      <c r="X19" s="34"/>
      <c r="Y19" s="34"/>
      <c r="Z19" s="34"/>
    </row>
    <row r="20" spans="1:26" ht="30" customHeight="1" x14ac:dyDescent="0.35">
      <c r="A20" s="30"/>
      <c r="C20" s="95"/>
      <c r="D20" s="95"/>
      <c r="E20" s="95"/>
      <c r="F20" s="95"/>
      <c r="G20" s="95"/>
      <c r="H20" s="95"/>
      <c r="I20" s="95"/>
      <c r="J20" s="95"/>
      <c r="K20" s="95"/>
      <c r="L20" s="95"/>
      <c r="M20" s="95"/>
      <c r="N20" s="95"/>
    </row>
    <row r="21" spans="1:26" ht="30" customHeight="1" x14ac:dyDescent="0.35">
      <c r="A21" s="30"/>
      <c r="I21" s="95"/>
      <c r="J21" s="95"/>
      <c r="K21" s="95"/>
      <c r="L21" s="95"/>
      <c r="M21" s="95"/>
      <c r="N21" s="95"/>
    </row>
    <row r="22" spans="1:26" ht="30" customHeight="1" x14ac:dyDescent="0.35">
      <c r="A22" s="30"/>
      <c r="I22" s="95"/>
      <c r="J22" s="95"/>
      <c r="K22" s="95"/>
      <c r="L22" s="95"/>
      <c r="M22" s="95"/>
      <c r="N22" s="95"/>
    </row>
    <row r="23" spans="1:26" ht="30" customHeight="1" x14ac:dyDescent="0.35">
      <c r="A23" s="30"/>
    </row>
    <row r="24" spans="1:26" ht="30" customHeight="1" x14ac:dyDescent="0.35">
      <c r="A24" s="30"/>
    </row>
    <row r="25" spans="1:26" ht="30" customHeight="1" x14ac:dyDescent="0.35">
      <c r="A25" s="30"/>
    </row>
    <row r="26" spans="1:26" ht="30" customHeight="1" x14ac:dyDescent="0.35">
      <c r="A26" s="30"/>
    </row>
    <row r="27" spans="1:26" ht="30" customHeight="1" x14ac:dyDescent="0.35">
      <c r="A27" s="30"/>
    </row>
    <row r="28" spans="1:26" ht="30" customHeight="1" x14ac:dyDescent="0.35">
      <c r="A28" s="30"/>
    </row>
    <row r="29" spans="1:26" ht="30" customHeight="1" x14ac:dyDescent="0.35">
      <c r="A29" s="30"/>
    </row>
    <row r="30" spans="1:26" ht="30" customHeight="1" x14ac:dyDescent="0.35">
      <c r="A30" s="30"/>
    </row>
    <row r="31" spans="1:26" ht="30" customHeight="1" x14ac:dyDescent="0.35">
      <c r="A31" s="30"/>
    </row>
    <row r="32" spans="1:26" ht="30" customHeight="1" x14ac:dyDescent="0.35">
      <c r="A32" s="30"/>
    </row>
    <row r="33" spans="1:1" ht="30" customHeight="1" x14ac:dyDescent="0.35">
      <c r="A33" s="30"/>
    </row>
    <row r="34" spans="1:1" ht="30" customHeight="1" x14ac:dyDescent="0.35">
      <c r="A34" s="30"/>
    </row>
    <row r="35" spans="1:1" ht="30" customHeight="1" x14ac:dyDescent="0.35">
      <c r="A35" s="30"/>
    </row>
    <row r="36" spans="1:1" ht="30" customHeight="1" x14ac:dyDescent="0.35">
      <c r="A36" s="30"/>
    </row>
    <row r="37" spans="1:1" ht="30" customHeight="1" x14ac:dyDescent="0.35">
      <c r="A37" s="30"/>
    </row>
    <row r="38" spans="1:1" ht="30" customHeight="1" x14ac:dyDescent="0.35">
      <c r="A38" s="30"/>
    </row>
    <row r="39" spans="1:1" ht="30" customHeight="1" x14ac:dyDescent="0.35">
      <c r="A39" s="30"/>
    </row>
    <row r="40" spans="1:1" ht="30" customHeight="1" x14ac:dyDescent="0.35">
      <c r="A40" s="30"/>
    </row>
    <row r="41" spans="1:1" ht="30" customHeight="1" x14ac:dyDescent="0.35">
      <c r="A41" s="30"/>
    </row>
    <row r="42" spans="1:1" ht="30" customHeight="1" x14ac:dyDescent="0.35">
      <c r="A42" s="30"/>
    </row>
    <row r="43" spans="1:1" ht="30" customHeight="1" x14ac:dyDescent="0.35">
      <c r="A43" s="30"/>
    </row>
    <row r="44" spans="1:1" ht="30" customHeight="1" x14ac:dyDescent="0.35">
      <c r="A44" s="30"/>
    </row>
    <row r="45" spans="1:1" ht="30" customHeight="1" x14ac:dyDescent="0.35">
      <c r="A45" s="30"/>
    </row>
    <row r="46" spans="1:1" ht="30" customHeight="1" x14ac:dyDescent="0.35">
      <c r="A46" s="30"/>
    </row>
    <row r="47" spans="1:1" ht="30" customHeight="1" x14ac:dyDescent="0.35">
      <c r="A47" s="30"/>
    </row>
    <row r="48" spans="1:1" ht="30" customHeight="1" x14ac:dyDescent="0.35">
      <c r="A48" s="30"/>
    </row>
    <row r="49" spans="1:1" ht="30" customHeight="1" x14ac:dyDescent="0.35">
      <c r="A49" s="30"/>
    </row>
    <row r="50" spans="1:1" ht="30" customHeight="1" x14ac:dyDescent="0.35">
      <c r="A50" s="30"/>
    </row>
    <row r="51" spans="1:1" ht="30" customHeight="1" x14ac:dyDescent="0.35">
      <c r="A51" s="30"/>
    </row>
    <row r="52" spans="1:1" ht="30" customHeight="1" x14ac:dyDescent="0.35">
      <c r="A52" s="30"/>
    </row>
    <row r="53" spans="1:1" ht="30" customHeight="1" x14ac:dyDescent="0.35">
      <c r="A53" s="30"/>
    </row>
    <row r="54" spans="1:1" ht="30" customHeight="1" x14ac:dyDescent="0.35">
      <c r="A54" s="30"/>
    </row>
    <row r="55" spans="1:1" ht="30" customHeight="1" x14ac:dyDescent="0.35">
      <c r="A55" s="30"/>
    </row>
    <row r="56" spans="1:1" ht="30" customHeight="1" x14ac:dyDescent="0.35">
      <c r="A56" s="30"/>
    </row>
    <row r="57" spans="1:1" ht="30" customHeight="1" x14ac:dyDescent="0.35">
      <c r="A57" s="30"/>
    </row>
    <row r="58" spans="1:1" ht="30" customHeight="1" x14ac:dyDescent="0.35">
      <c r="A58" s="30"/>
    </row>
    <row r="59" spans="1:1" ht="30" customHeight="1" x14ac:dyDescent="0.35">
      <c r="A59" s="30"/>
    </row>
    <row r="60" spans="1:1" ht="30" customHeight="1" x14ac:dyDescent="0.35">
      <c r="A60" s="30"/>
    </row>
    <row r="61" spans="1:1" ht="30" customHeight="1" x14ac:dyDescent="0.35">
      <c r="A61" s="30"/>
    </row>
    <row r="62" spans="1:1" ht="30" customHeight="1" x14ac:dyDescent="0.35">
      <c r="A62" s="30"/>
    </row>
    <row r="63" spans="1:1" ht="30" customHeight="1" x14ac:dyDescent="0.35">
      <c r="A63" s="30"/>
    </row>
    <row r="64" spans="1:1" ht="30" customHeight="1" x14ac:dyDescent="0.35">
      <c r="A64" s="30"/>
    </row>
    <row r="65" spans="1:1" ht="30" customHeight="1" x14ac:dyDescent="0.35">
      <c r="A65" s="30"/>
    </row>
    <row r="66" spans="1:1" ht="30" customHeight="1" x14ac:dyDescent="0.35">
      <c r="A66" s="30"/>
    </row>
    <row r="67" spans="1:1" ht="30" customHeight="1" x14ac:dyDescent="0.35">
      <c r="A67" s="30"/>
    </row>
    <row r="68" spans="1:1" ht="30" customHeight="1" x14ac:dyDescent="0.35">
      <c r="A68" s="30"/>
    </row>
    <row r="69" spans="1:1" ht="30" customHeight="1" x14ac:dyDescent="0.35">
      <c r="A69" s="30"/>
    </row>
    <row r="70" spans="1:1" ht="30" customHeight="1" x14ac:dyDescent="0.35">
      <c r="A70" s="30"/>
    </row>
    <row r="71" spans="1:1" ht="30" customHeight="1" x14ac:dyDescent="0.35">
      <c r="A71" s="30"/>
    </row>
    <row r="72" spans="1:1" ht="30" customHeight="1" x14ac:dyDescent="0.35">
      <c r="A72" s="30"/>
    </row>
    <row r="73" spans="1:1" ht="30" customHeight="1" x14ac:dyDescent="0.35">
      <c r="A73" s="30"/>
    </row>
    <row r="74" spans="1:1" ht="30" customHeight="1" x14ac:dyDescent="0.35">
      <c r="A74" s="30"/>
    </row>
    <row r="75" spans="1:1" ht="30" customHeight="1" x14ac:dyDescent="0.35">
      <c r="A75" s="30"/>
    </row>
    <row r="76" spans="1:1" ht="30" customHeight="1" x14ac:dyDescent="0.35">
      <c r="A76" s="30"/>
    </row>
    <row r="77" spans="1:1" ht="30" customHeight="1" x14ac:dyDescent="0.35">
      <c r="A77" s="30"/>
    </row>
    <row r="78" spans="1:1" ht="30" customHeight="1" x14ac:dyDescent="0.35">
      <c r="A78" s="30"/>
    </row>
    <row r="79" spans="1:1" ht="30" customHeight="1" x14ac:dyDescent="0.35">
      <c r="A79" s="30"/>
    </row>
    <row r="80" spans="1:1" ht="30" customHeight="1" x14ac:dyDescent="0.35">
      <c r="A80" s="30"/>
    </row>
    <row r="81" spans="1:1" ht="30" customHeight="1" x14ac:dyDescent="0.35">
      <c r="A81" s="30"/>
    </row>
    <row r="82" spans="1:1" ht="30" customHeight="1" x14ac:dyDescent="0.35">
      <c r="A82" s="30"/>
    </row>
    <row r="83" spans="1:1" ht="30" customHeight="1" x14ac:dyDescent="0.35">
      <c r="A83" s="30"/>
    </row>
    <row r="84" spans="1:1" ht="30" customHeight="1" x14ac:dyDescent="0.35">
      <c r="A84" s="30"/>
    </row>
    <row r="85" spans="1:1" ht="30" customHeight="1" x14ac:dyDescent="0.35">
      <c r="A85" s="30"/>
    </row>
    <row r="86" spans="1:1" ht="30" customHeight="1" x14ac:dyDescent="0.35">
      <c r="A86" s="30"/>
    </row>
    <row r="87" spans="1:1" ht="30" customHeight="1" x14ac:dyDescent="0.35">
      <c r="A87" s="30"/>
    </row>
    <row r="88" spans="1:1" ht="30" customHeight="1" x14ac:dyDescent="0.35">
      <c r="A88" s="30"/>
    </row>
    <row r="89" spans="1:1" ht="30" customHeight="1" x14ac:dyDescent="0.35">
      <c r="A89" s="30"/>
    </row>
    <row r="90" spans="1:1" ht="30" customHeight="1" x14ac:dyDescent="0.35">
      <c r="A90" s="30"/>
    </row>
    <row r="91" spans="1:1" ht="30" customHeight="1" x14ac:dyDescent="0.35">
      <c r="A91" s="30"/>
    </row>
    <row r="92" spans="1:1" ht="30" customHeight="1" x14ac:dyDescent="0.35">
      <c r="A92" s="30"/>
    </row>
    <row r="93" spans="1:1" ht="30" customHeight="1" x14ac:dyDescent="0.35">
      <c r="A93" s="30"/>
    </row>
    <row r="94" spans="1:1" ht="30" customHeight="1" x14ac:dyDescent="0.35">
      <c r="A94" s="30"/>
    </row>
    <row r="95" spans="1:1" ht="30" customHeight="1" x14ac:dyDescent="0.35">
      <c r="A95" s="30"/>
    </row>
    <row r="96" spans="1:1" ht="30" customHeight="1" x14ac:dyDescent="0.35">
      <c r="A96" s="30"/>
    </row>
    <row r="97" spans="1:1" ht="30" customHeight="1" x14ac:dyDescent="0.35">
      <c r="A97" s="30"/>
    </row>
    <row r="98" spans="1:1" ht="30" customHeight="1" x14ac:dyDescent="0.35">
      <c r="A98" s="30"/>
    </row>
    <row r="99" spans="1:1" ht="30" customHeight="1" x14ac:dyDescent="0.35">
      <c r="A99" s="30"/>
    </row>
    <row r="100" spans="1:1" ht="30" customHeight="1" x14ac:dyDescent="0.35">
      <c r="A100" s="30"/>
    </row>
    <row r="101" spans="1:1" ht="30" customHeight="1" x14ac:dyDescent="0.35"/>
    <row r="102" spans="1:1" ht="30" customHeight="1" x14ac:dyDescent="0.35"/>
    <row r="103" spans="1:1" ht="30" customHeight="1" x14ac:dyDescent="0.35"/>
    <row r="104" spans="1:1" ht="30" customHeight="1" x14ac:dyDescent="0.35"/>
    <row r="105" spans="1:1" ht="30" customHeight="1" x14ac:dyDescent="0.35"/>
    <row r="106" spans="1:1" ht="30" customHeight="1" x14ac:dyDescent="0.35"/>
    <row r="107" spans="1:1" ht="30" customHeight="1" x14ac:dyDescent="0.35"/>
    <row r="108" spans="1:1" ht="30" customHeight="1" x14ac:dyDescent="0.35"/>
    <row r="109" spans="1:1" ht="30" customHeight="1" x14ac:dyDescent="0.35"/>
    <row r="110" spans="1:1" ht="30" customHeight="1" x14ac:dyDescent="0.35"/>
    <row r="111" spans="1:1" ht="30" customHeight="1" x14ac:dyDescent="0.35"/>
    <row r="112" spans="1:1" ht="30" customHeight="1" x14ac:dyDescent="0.35"/>
    <row r="113" ht="30" customHeight="1" x14ac:dyDescent="0.35"/>
    <row r="114" ht="30" customHeight="1" x14ac:dyDescent="0.35"/>
    <row r="115" ht="30" customHeight="1" x14ac:dyDescent="0.35"/>
    <row r="116" ht="30" customHeight="1" x14ac:dyDescent="0.35"/>
    <row r="117" ht="30" customHeight="1" x14ac:dyDescent="0.35"/>
    <row r="118" ht="30" customHeight="1" x14ac:dyDescent="0.35"/>
    <row r="119" ht="30" customHeight="1" x14ac:dyDescent="0.35"/>
    <row r="120" ht="30" customHeight="1" x14ac:dyDescent="0.35"/>
    <row r="121" ht="30" customHeight="1" x14ac:dyDescent="0.35"/>
    <row r="122" ht="30" customHeight="1" x14ac:dyDescent="0.35"/>
    <row r="123" ht="30" customHeight="1" x14ac:dyDescent="0.35"/>
    <row r="124" ht="30" customHeight="1" x14ac:dyDescent="0.35"/>
    <row r="125" ht="30" customHeight="1" x14ac:dyDescent="0.35"/>
    <row r="126" ht="30" customHeight="1" x14ac:dyDescent="0.35"/>
    <row r="127" ht="30" customHeight="1" x14ac:dyDescent="0.35"/>
    <row r="128" ht="30" customHeight="1" x14ac:dyDescent="0.35"/>
    <row r="129" ht="30" customHeight="1" x14ac:dyDescent="0.35"/>
    <row r="130" ht="30" customHeight="1" x14ac:dyDescent="0.35"/>
    <row r="131" ht="30" customHeight="1" x14ac:dyDescent="0.35"/>
    <row r="132" ht="30" customHeight="1" x14ac:dyDescent="0.35"/>
    <row r="133" ht="30" customHeight="1" x14ac:dyDescent="0.35"/>
    <row r="134" ht="30" customHeight="1" x14ac:dyDescent="0.35"/>
    <row r="135" ht="30" customHeight="1" x14ac:dyDescent="0.35"/>
    <row r="136" ht="30" customHeight="1" x14ac:dyDescent="0.35"/>
    <row r="137" ht="30" customHeight="1" x14ac:dyDescent="0.35"/>
  </sheetData>
  <sheetProtection algorithmName="SHA-512" hashValue="SMQjlt+H0JU+pEdW+OG9Ht9WVCrNxWJ9/N9kBZwbb1hiTQa5YeDHFSumA2OornOTpkh+P31E/ltAye2xh/d8lQ==" saltValue="Hy/sd9M56MRIYd7k09LXpg==" spinCount="100000" sheet="1" objects="1" scenarios="1" selectLockedCells="1"/>
  <mergeCells count="39">
    <mergeCell ref="C19:H19"/>
    <mergeCell ref="C20:H20"/>
    <mergeCell ref="I20:N20"/>
    <mergeCell ref="I21:N21"/>
    <mergeCell ref="I22:N22"/>
    <mergeCell ref="C16:H16"/>
    <mergeCell ref="J16:R18"/>
    <mergeCell ref="U16:Z16"/>
    <mergeCell ref="C17:H17"/>
    <mergeCell ref="U17:Z17"/>
    <mergeCell ref="C18:H18"/>
    <mergeCell ref="C13:H13"/>
    <mergeCell ref="U13:Z13"/>
    <mergeCell ref="C14:H14"/>
    <mergeCell ref="U14:Z14"/>
    <mergeCell ref="C15:H15"/>
    <mergeCell ref="U15:Z15"/>
    <mergeCell ref="C11:H11"/>
    <mergeCell ref="I11:N11"/>
    <mergeCell ref="O11:T11"/>
    <mergeCell ref="U11:Z11"/>
    <mergeCell ref="C12:H12"/>
    <mergeCell ref="I12:N12"/>
    <mergeCell ref="U12:Z12"/>
    <mergeCell ref="C9:H9"/>
    <mergeCell ref="I9:N9"/>
    <mergeCell ref="O9:T9"/>
    <mergeCell ref="U9:Z9"/>
    <mergeCell ref="C10:H10"/>
    <mergeCell ref="I10:N10"/>
    <mergeCell ref="O10:T10"/>
    <mergeCell ref="U10:Z10"/>
    <mergeCell ref="C3:Z3"/>
    <mergeCell ref="C4:Z4"/>
    <mergeCell ref="C5:Z5"/>
    <mergeCell ref="C6:H7"/>
    <mergeCell ref="I6:N7"/>
    <mergeCell ref="O6:T7"/>
    <mergeCell ref="U6:Z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47" r:id="rId3" name="Button 27">
              <controlPr defaultSize="0" print="0" autoFill="0" autoPict="0" macro="[0]!Tenderopen">
                <anchor>
                  <from>
                    <xdr:col>2</xdr:col>
                    <xdr:colOff>38100</xdr:colOff>
                    <xdr:row>14</xdr:row>
                    <xdr:rowOff>361950</xdr:rowOff>
                  </from>
                  <to>
                    <xdr:col>7</xdr:col>
                    <xdr:colOff>247650</xdr:colOff>
                    <xdr:row>15</xdr:row>
                    <xdr:rowOff>323850</xdr:rowOff>
                  </to>
                </anchor>
              </controlPr>
            </control>
          </mc:Choice>
        </mc:AlternateContent>
        <mc:AlternateContent xmlns:mc="http://schemas.openxmlformats.org/markup-compatibility/2006">
          <mc:Choice Requires="x14">
            <control shapeId="5148" r:id="rId4" name="Button 28">
              <controlPr defaultSize="0" print="0" autoFill="0" autoPict="0" macro="[0]!Tendercascade">
                <anchor>
                  <from>
                    <xdr:col>2</xdr:col>
                    <xdr:colOff>31750</xdr:colOff>
                    <xdr:row>7</xdr:row>
                    <xdr:rowOff>171450</xdr:rowOff>
                  </from>
                  <to>
                    <xdr:col>7</xdr:col>
                    <xdr:colOff>241300</xdr:colOff>
                    <xdr:row>8</xdr:row>
                    <xdr:rowOff>323850</xdr:rowOff>
                  </to>
                </anchor>
              </controlPr>
            </control>
          </mc:Choice>
        </mc:AlternateContent>
        <mc:AlternateContent xmlns:mc="http://schemas.openxmlformats.org/markup-compatibility/2006">
          <mc:Choice Requires="x14">
            <control shapeId="5149" r:id="rId5" name="Button 29">
              <controlPr defaultSize="0" print="0" autoFill="0" autoPict="0" macro="[0]!Tenderdps">
                <anchor>
                  <from>
                    <xdr:col>2</xdr:col>
                    <xdr:colOff>50800</xdr:colOff>
                    <xdr:row>16</xdr:row>
                    <xdr:rowOff>361950</xdr:rowOff>
                  </from>
                  <to>
                    <xdr:col>7</xdr:col>
                    <xdr:colOff>260350</xdr:colOff>
                    <xdr:row>17</xdr:row>
                    <xdr:rowOff>323850</xdr:rowOff>
                  </to>
                </anchor>
              </controlPr>
            </control>
          </mc:Choice>
        </mc:AlternateContent>
        <mc:AlternateContent xmlns:mc="http://schemas.openxmlformats.org/markup-compatibility/2006">
          <mc:Choice Requires="x14">
            <control shapeId="5150" r:id="rId6" name="Button 30">
              <controlPr defaultSize="0" print="0" autoFill="0" autoPict="0" macro="[0]!tenderrestricted">
                <anchor>
                  <from>
                    <xdr:col>2</xdr:col>
                    <xdr:colOff>38100</xdr:colOff>
                    <xdr:row>15</xdr:row>
                    <xdr:rowOff>355600</xdr:rowOff>
                  </from>
                  <to>
                    <xdr:col>7</xdr:col>
                    <xdr:colOff>247650</xdr:colOff>
                    <xdr:row>16</xdr:row>
                    <xdr:rowOff>317500</xdr:rowOff>
                  </to>
                </anchor>
              </controlPr>
            </control>
          </mc:Choice>
        </mc:AlternateContent>
        <mc:AlternateContent xmlns:mc="http://schemas.openxmlformats.org/markup-compatibility/2006">
          <mc:Choice Requires="x14">
            <control shapeId="5151" r:id="rId7" name="Button 31">
              <controlPr defaultSize="0" print="0" autoFill="0" autoPict="0" macro="[0]!Tendercommision">
                <anchor>
                  <from>
                    <xdr:col>2</xdr:col>
                    <xdr:colOff>31750</xdr:colOff>
                    <xdr:row>8</xdr:row>
                    <xdr:rowOff>355600</xdr:rowOff>
                  </from>
                  <to>
                    <xdr:col>7</xdr:col>
                    <xdr:colOff>241300</xdr:colOff>
                    <xdr:row>9</xdr:row>
                    <xdr:rowOff>317500</xdr:rowOff>
                  </to>
                </anchor>
              </controlPr>
            </control>
          </mc:Choice>
        </mc:AlternateContent>
        <mc:AlternateContent xmlns:mc="http://schemas.openxmlformats.org/markup-compatibility/2006">
          <mc:Choice Requires="x14">
            <control shapeId="5152" r:id="rId8" name="Button 32">
              <controlPr defaultSize="0" print="0" autoFill="0" autoPict="0" macro="[0]!Tenderdeviated">
                <anchor>
                  <from>
                    <xdr:col>2</xdr:col>
                    <xdr:colOff>38100</xdr:colOff>
                    <xdr:row>9</xdr:row>
                    <xdr:rowOff>361950</xdr:rowOff>
                  </from>
                  <to>
                    <xdr:col>7</xdr:col>
                    <xdr:colOff>247650</xdr:colOff>
                    <xdr:row>10</xdr:row>
                    <xdr:rowOff>323850</xdr:rowOff>
                  </to>
                </anchor>
              </controlPr>
            </control>
          </mc:Choice>
        </mc:AlternateContent>
        <mc:AlternateContent xmlns:mc="http://schemas.openxmlformats.org/markup-compatibility/2006">
          <mc:Choice Requires="x14">
            <control shapeId="5153" r:id="rId9" name="Button 33">
              <controlPr defaultSize="0" print="0" autoFill="0" autoPict="0" macro="[0]!Tenderepco">
                <anchor>
                  <from>
                    <xdr:col>2</xdr:col>
                    <xdr:colOff>38100</xdr:colOff>
                    <xdr:row>10</xdr:row>
                    <xdr:rowOff>361950</xdr:rowOff>
                  </from>
                  <to>
                    <xdr:col>7</xdr:col>
                    <xdr:colOff>247650</xdr:colOff>
                    <xdr:row>11</xdr:row>
                    <xdr:rowOff>323850</xdr:rowOff>
                  </to>
                </anchor>
              </controlPr>
            </control>
          </mc:Choice>
        </mc:AlternateContent>
        <mc:AlternateContent xmlns:mc="http://schemas.openxmlformats.org/markup-compatibility/2006">
          <mc:Choice Requires="x14">
            <control shapeId="5154" r:id="rId10" name="Button 34">
              <controlPr defaultSize="0" print="0" autoFill="0" autoPict="0" macro="[0]!Tendermini">
                <anchor>
                  <from>
                    <xdr:col>2</xdr:col>
                    <xdr:colOff>38100</xdr:colOff>
                    <xdr:row>11</xdr:row>
                    <xdr:rowOff>355600</xdr:rowOff>
                  </from>
                  <to>
                    <xdr:col>7</xdr:col>
                    <xdr:colOff>247650</xdr:colOff>
                    <xdr:row>12</xdr:row>
                    <xdr:rowOff>317500</xdr:rowOff>
                  </to>
                </anchor>
              </controlPr>
            </control>
          </mc:Choice>
        </mc:AlternateContent>
        <mc:AlternateContent xmlns:mc="http://schemas.openxmlformats.org/markup-compatibility/2006">
          <mc:Choice Requires="x14">
            <control shapeId="5155" r:id="rId11" name="Button 35">
              <controlPr defaultSize="0" print="0" autoFill="0" autoPict="0" macro="[0]!Tendernonpublic">
                <anchor>
                  <from>
                    <xdr:col>2</xdr:col>
                    <xdr:colOff>38100</xdr:colOff>
                    <xdr:row>12</xdr:row>
                    <xdr:rowOff>361950</xdr:rowOff>
                  </from>
                  <to>
                    <xdr:col>7</xdr:col>
                    <xdr:colOff>247650</xdr:colOff>
                    <xdr:row>13</xdr:row>
                    <xdr:rowOff>323850</xdr:rowOff>
                  </to>
                </anchor>
              </controlPr>
            </control>
          </mc:Choice>
        </mc:AlternateContent>
        <mc:AlternateContent xmlns:mc="http://schemas.openxmlformats.org/markup-compatibility/2006">
          <mc:Choice Requires="x14">
            <control shapeId="5156" r:id="rId12" name="Button 36">
              <controlPr defaultSize="0" print="0" autoFill="0" autoPict="0" macro="[0]!Tendernegociated">
                <anchor>
                  <from>
                    <xdr:col>2</xdr:col>
                    <xdr:colOff>38100</xdr:colOff>
                    <xdr:row>13</xdr:row>
                    <xdr:rowOff>361950</xdr:rowOff>
                  </from>
                  <to>
                    <xdr:col>7</xdr:col>
                    <xdr:colOff>247650</xdr:colOff>
                    <xdr:row>14</xdr:row>
                    <xdr:rowOff>323850</xdr:rowOff>
                  </to>
                </anchor>
              </controlPr>
            </control>
          </mc:Choice>
        </mc:AlternateContent>
        <mc:AlternateContent xmlns:mc="http://schemas.openxmlformats.org/markup-compatibility/2006">
          <mc:Choice Requires="x14">
            <control shapeId="5157" r:id="rId13" name="Button 37">
              <controlPr defaultSize="0" print="0" autoFill="0" autoPict="0" macro="[0]!Implementcommision">
                <anchor>
                  <from>
                    <xdr:col>14</xdr:col>
                    <xdr:colOff>31750</xdr:colOff>
                    <xdr:row>7</xdr:row>
                    <xdr:rowOff>171450</xdr:rowOff>
                  </from>
                  <to>
                    <xdr:col>19</xdr:col>
                    <xdr:colOff>241300</xdr:colOff>
                    <xdr:row>8</xdr:row>
                    <xdr:rowOff>323850</xdr:rowOff>
                  </to>
                </anchor>
              </controlPr>
            </control>
          </mc:Choice>
        </mc:AlternateContent>
        <mc:AlternateContent xmlns:mc="http://schemas.openxmlformats.org/markup-compatibility/2006">
          <mc:Choice Requires="x14">
            <control shapeId="5158" r:id="rId14" name="Button 38">
              <controlPr defaultSize="0" print="0" autoFill="0" autoPict="0" macro="[0]!ImplementEpco">
                <anchor>
                  <from>
                    <xdr:col>14</xdr:col>
                    <xdr:colOff>31750</xdr:colOff>
                    <xdr:row>8</xdr:row>
                    <xdr:rowOff>374650</xdr:rowOff>
                  </from>
                  <to>
                    <xdr:col>19</xdr:col>
                    <xdr:colOff>241300</xdr:colOff>
                    <xdr:row>9</xdr:row>
                    <xdr:rowOff>336550</xdr:rowOff>
                  </to>
                </anchor>
              </controlPr>
            </control>
          </mc:Choice>
        </mc:AlternateContent>
        <mc:AlternateContent xmlns:mc="http://schemas.openxmlformats.org/markup-compatibility/2006">
          <mc:Choice Requires="x14">
            <control shapeId="5159" r:id="rId15" name="Button 39">
              <controlPr defaultSize="0" print="0" autoFill="0" autoPict="0" macro="[0]!ImplementFA">
                <anchor>
                  <from>
                    <xdr:col>14</xdr:col>
                    <xdr:colOff>31750</xdr:colOff>
                    <xdr:row>9</xdr:row>
                    <xdr:rowOff>374650</xdr:rowOff>
                  </from>
                  <to>
                    <xdr:col>19</xdr:col>
                    <xdr:colOff>241300</xdr:colOff>
                    <xdr:row>10</xdr:row>
                    <xdr:rowOff>336550</xdr:rowOff>
                  </to>
                </anchor>
              </controlPr>
            </control>
          </mc:Choice>
        </mc:AlternateContent>
        <mc:AlternateContent xmlns:mc="http://schemas.openxmlformats.org/markup-compatibility/2006">
          <mc:Choice Requires="x14">
            <control shapeId="5160" r:id="rId16" name="Button 40">
              <controlPr defaultSize="0" print="0" autoFill="0" autoPict="0" macro="[0]!Othercommision">
                <anchor>
                  <from>
                    <xdr:col>20</xdr:col>
                    <xdr:colOff>12700</xdr:colOff>
                    <xdr:row>14</xdr:row>
                    <xdr:rowOff>190500</xdr:rowOff>
                  </from>
                  <to>
                    <xdr:col>25</xdr:col>
                    <xdr:colOff>222250</xdr:colOff>
                    <xdr:row>15</xdr:row>
                    <xdr:rowOff>152400</xdr:rowOff>
                  </to>
                </anchor>
              </controlPr>
            </control>
          </mc:Choice>
        </mc:AlternateContent>
        <mc:AlternateContent xmlns:mc="http://schemas.openxmlformats.org/markup-compatibility/2006">
          <mc:Choice Requires="x14">
            <control shapeId="5161" r:id="rId17" name="Button 41">
              <controlPr defaultSize="0" print="0" autoFill="0" autoPict="0" macro="[0]!Directbelow">
                <anchor>
                  <from>
                    <xdr:col>20</xdr:col>
                    <xdr:colOff>19050</xdr:colOff>
                    <xdr:row>9</xdr:row>
                    <xdr:rowOff>374650</xdr:rowOff>
                  </from>
                  <to>
                    <xdr:col>25</xdr:col>
                    <xdr:colOff>228600</xdr:colOff>
                    <xdr:row>10</xdr:row>
                    <xdr:rowOff>336550</xdr:rowOff>
                  </to>
                </anchor>
              </controlPr>
            </control>
          </mc:Choice>
        </mc:AlternateContent>
        <mc:AlternateContent xmlns:mc="http://schemas.openxmlformats.org/markup-compatibility/2006">
          <mc:Choice Requires="x14">
            <control shapeId="5162" r:id="rId18" name="Button 42">
              <controlPr defaultSize="0" print="0" autoFill="0" autoPict="0" macro="[0]!Directexclusion">
                <anchor>
                  <from>
                    <xdr:col>20</xdr:col>
                    <xdr:colOff>19050</xdr:colOff>
                    <xdr:row>8</xdr:row>
                    <xdr:rowOff>374650</xdr:rowOff>
                  </from>
                  <to>
                    <xdr:col>25</xdr:col>
                    <xdr:colOff>228600</xdr:colOff>
                    <xdr:row>9</xdr:row>
                    <xdr:rowOff>336550</xdr:rowOff>
                  </to>
                </anchor>
              </controlPr>
            </control>
          </mc:Choice>
        </mc:AlternateContent>
        <mc:AlternateContent xmlns:mc="http://schemas.openxmlformats.org/markup-compatibility/2006">
          <mc:Choice Requires="x14">
            <control shapeId="5163" r:id="rId19" name="Button 43">
              <controlPr defaultSize="0" print="0" autoFill="0" autoPict="0" macro="[0]!Directexception">
                <anchor>
                  <from>
                    <xdr:col>20</xdr:col>
                    <xdr:colOff>31750</xdr:colOff>
                    <xdr:row>7</xdr:row>
                    <xdr:rowOff>171450</xdr:rowOff>
                  </from>
                  <to>
                    <xdr:col>25</xdr:col>
                    <xdr:colOff>241300</xdr:colOff>
                    <xdr:row>8</xdr:row>
                    <xdr:rowOff>323850</xdr:rowOff>
                  </to>
                </anchor>
              </controlPr>
            </control>
          </mc:Choice>
        </mc:AlternateContent>
        <mc:AlternateContent xmlns:mc="http://schemas.openxmlformats.org/markup-compatibility/2006">
          <mc:Choice Requires="x14">
            <control shapeId="5164" r:id="rId20" name="Button 44">
              <controlPr defaultSize="0" print="0" autoFill="0" autoPict="0" macro="[0]!DirectEFSF">
                <anchor>
                  <from>
                    <xdr:col>20</xdr:col>
                    <xdr:colOff>19050</xdr:colOff>
                    <xdr:row>10</xdr:row>
                    <xdr:rowOff>361950</xdr:rowOff>
                  </from>
                  <to>
                    <xdr:col>25</xdr:col>
                    <xdr:colOff>228600</xdr:colOff>
                    <xdr:row>11</xdr:row>
                    <xdr:rowOff>323850</xdr:rowOff>
                  </to>
                </anchor>
              </controlPr>
            </control>
          </mc:Choice>
        </mc:AlternateContent>
        <mc:AlternateContent xmlns:mc="http://schemas.openxmlformats.org/markup-compatibility/2006">
          <mc:Choice Requires="x14">
            <control shapeId="5165" r:id="rId21" name="Button 45">
              <controlPr defaultSize="0" print="0" autoFill="0" autoPict="0" macro="[0]!OtherEPCO">
                <anchor>
                  <from>
                    <xdr:col>20</xdr:col>
                    <xdr:colOff>0</xdr:colOff>
                    <xdr:row>15</xdr:row>
                    <xdr:rowOff>190500</xdr:rowOff>
                  </from>
                  <to>
                    <xdr:col>25</xdr:col>
                    <xdr:colOff>209550</xdr:colOff>
                    <xdr:row>16</xdr:row>
                    <xdr:rowOff>152400</xdr:rowOff>
                  </to>
                </anchor>
              </controlPr>
            </control>
          </mc:Choice>
        </mc:AlternateContent>
        <mc:AlternateContent xmlns:mc="http://schemas.openxmlformats.org/markup-compatibility/2006">
          <mc:Choice Requires="x14">
            <control shapeId="5166" r:id="rId22" name="Button 46">
              <controlPr defaultSize="0" print="0" autoFill="0" autoPict="0" macro="[0]!Othernon">
                <anchor>
                  <from>
                    <xdr:col>20</xdr:col>
                    <xdr:colOff>12700</xdr:colOff>
                    <xdr:row>16</xdr:row>
                    <xdr:rowOff>190500</xdr:rowOff>
                  </from>
                  <to>
                    <xdr:col>25</xdr:col>
                    <xdr:colOff>222250</xdr:colOff>
                    <xdr:row>17</xdr:row>
                    <xdr:rowOff>152400</xdr:rowOff>
                  </to>
                </anchor>
              </controlPr>
            </control>
          </mc:Choice>
        </mc:AlternateContent>
        <mc:AlternateContent xmlns:mc="http://schemas.openxmlformats.org/markup-compatibility/2006">
          <mc:Choice Requires="x14">
            <control shapeId="5167" r:id="rId23" name="Button 47">
              <controlPr defaultSize="0" print="0" autoFill="0" autoPict="0" macro="[0]!Amendextension">
                <anchor>
                  <from>
                    <xdr:col>8</xdr:col>
                    <xdr:colOff>38100</xdr:colOff>
                    <xdr:row>7</xdr:row>
                    <xdr:rowOff>184150</xdr:rowOff>
                  </from>
                  <to>
                    <xdr:col>13</xdr:col>
                    <xdr:colOff>247650</xdr:colOff>
                    <xdr:row>8</xdr:row>
                    <xdr:rowOff>336550</xdr:rowOff>
                  </to>
                </anchor>
              </controlPr>
            </control>
          </mc:Choice>
        </mc:AlternateContent>
        <mc:AlternateContent xmlns:mc="http://schemas.openxmlformats.org/markup-compatibility/2006">
          <mc:Choice Requires="x14">
            <control shapeId="5168" r:id="rId24" name="Button 48">
              <controlPr defaultSize="0" print="0" autoFill="0" autoPict="0" macro="[0]!Amendmodification">
                <anchor>
                  <from>
                    <xdr:col>8</xdr:col>
                    <xdr:colOff>38100</xdr:colOff>
                    <xdr:row>8</xdr:row>
                    <xdr:rowOff>361950</xdr:rowOff>
                  </from>
                  <to>
                    <xdr:col>13</xdr:col>
                    <xdr:colOff>247650</xdr:colOff>
                    <xdr:row>9</xdr:row>
                    <xdr:rowOff>323850</xdr:rowOff>
                  </to>
                </anchor>
              </controlPr>
            </control>
          </mc:Choice>
        </mc:AlternateContent>
        <mc:AlternateContent xmlns:mc="http://schemas.openxmlformats.org/markup-compatibility/2006">
          <mc:Choice Requires="x14">
            <control shapeId="5169" r:id="rId25" name="Button 49">
              <controlPr defaultSize="0" print="0" autoFill="0" autoPict="0" macro="[0]!Amendmodificationandextension">
                <anchor>
                  <from>
                    <xdr:col>8</xdr:col>
                    <xdr:colOff>50800</xdr:colOff>
                    <xdr:row>10</xdr:row>
                    <xdr:rowOff>0</xdr:rowOff>
                  </from>
                  <to>
                    <xdr:col>13</xdr:col>
                    <xdr:colOff>260350</xdr:colOff>
                    <xdr:row>10</xdr:row>
                    <xdr:rowOff>342900</xdr:rowOff>
                  </to>
                </anchor>
              </controlPr>
            </control>
          </mc:Choice>
        </mc:AlternateContent>
        <mc:AlternateContent xmlns:mc="http://schemas.openxmlformats.org/markup-compatibility/2006">
          <mc:Choice Requires="x14">
            <control shapeId="5170" r:id="rId26" name="Button 50">
              <controlPr defaultSize="0" print="0" autoFill="0" autoPict="0" macro="[0]!Amendtermination">
                <anchor>
                  <from>
                    <xdr:col>8</xdr:col>
                    <xdr:colOff>50800</xdr:colOff>
                    <xdr:row>11</xdr:row>
                    <xdr:rowOff>0</xdr:rowOff>
                  </from>
                  <to>
                    <xdr:col>13</xdr:col>
                    <xdr:colOff>260350</xdr:colOff>
                    <xdr:row>11</xdr:row>
                    <xdr:rowOff>342900</xdr:rowOff>
                  </to>
                </anchor>
              </controlPr>
            </control>
          </mc:Choice>
        </mc:AlternateContent>
        <mc:AlternateContent xmlns:mc="http://schemas.openxmlformats.org/markup-compatibility/2006">
          <mc:Choice Requires="x14">
            <control shapeId="5171" r:id="rId27" name="Button 51">
              <controlPr defaultSize="0" print="0" autoFill="0" autoPict="0" macro="[0]!Optimizeforlaptop">
                <anchor>
                  <from>
                    <xdr:col>2</xdr:col>
                    <xdr:colOff>12700</xdr:colOff>
                    <xdr:row>1</xdr:row>
                    <xdr:rowOff>146050</xdr:rowOff>
                  </from>
                  <to>
                    <xdr:col>5</xdr:col>
                    <xdr:colOff>0</xdr:colOff>
                    <xdr:row>2</xdr:row>
                    <xdr:rowOff>298450</xdr:rowOff>
                  </to>
                </anchor>
              </controlPr>
            </control>
          </mc:Choice>
        </mc:AlternateContent>
        <mc:AlternateContent xmlns:mc="http://schemas.openxmlformats.org/markup-compatibility/2006">
          <mc:Choice Requires="x14">
            <control shapeId="5172" r:id="rId28" name="Button 52">
              <controlPr defaultSize="0" print="0" autoFill="0" autoPict="0" macro="[0]!Optimizeforwidescreen">
                <anchor>
                  <from>
                    <xdr:col>23</xdr:col>
                    <xdr:colOff>12700</xdr:colOff>
                    <xdr:row>1</xdr:row>
                    <xdr:rowOff>152400</xdr:rowOff>
                  </from>
                  <to>
                    <xdr:col>26</xdr:col>
                    <xdr:colOff>12700</xdr:colOff>
                    <xdr:row>2</xdr:row>
                    <xdr:rowOff>304800</xdr:rowOff>
                  </to>
                </anchor>
              </controlPr>
            </control>
          </mc:Choice>
        </mc:AlternateContent>
        <mc:AlternateContent xmlns:mc="http://schemas.openxmlformats.org/markup-compatibility/2006">
          <mc:Choice Requires="x14">
            <control shapeId="5173" r:id="rId29" name="Button 53">
              <controlPr defaultSize="0" print="0" autoFill="0" autoPict="0" macro="[0]!Tenderpublication">
                <anchor>
                  <from>
                    <xdr:col>2</xdr:col>
                    <xdr:colOff>50800</xdr:colOff>
                    <xdr:row>17</xdr:row>
                    <xdr:rowOff>374650</xdr:rowOff>
                  </from>
                  <to>
                    <xdr:col>7</xdr:col>
                    <xdr:colOff>260350</xdr:colOff>
                    <xdr:row>18</xdr:row>
                    <xdr:rowOff>336550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231E0-ABA4-4535-A9E4-1A5B6CAC2680}">
  <sheetPr codeName="Sheet1"/>
  <dimension ref="A1:J125"/>
  <sheetViews>
    <sheetView showRowColHeaders="0" zoomScale="52" zoomScaleNormal="80" workbookViewId="0"/>
  </sheetViews>
  <sheetFormatPr defaultColWidth="9.1796875" defaultRowHeight="14.5" x14ac:dyDescent="0.35"/>
  <cols>
    <col min="1" max="1" width="2.7265625" style="47" customWidth="1"/>
    <col min="2" max="2" width="49.54296875" style="47" bestFit="1" customWidth="1"/>
    <col min="3" max="3" width="2.7265625" style="47" customWidth="1"/>
    <col min="4" max="4" width="100.7265625" style="47" customWidth="1"/>
    <col min="5" max="6" width="17" style="47" customWidth="1"/>
    <col min="7" max="16384" width="9.1796875" style="47"/>
  </cols>
  <sheetData>
    <row r="1" spans="1:7" ht="15" thickBot="1" x14ac:dyDescent="0.4">
      <c r="A1" s="67"/>
    </row>
    <row r="2" spans="1:7" ht="70" customHeight="1" thickTop="1" thickBot="1" x14ac:dyDescent="0.4">
      <c r="A2" s="67"/>
      <c r="B2" s="102" t="s">
        <v>3312</v>
      </c>
      <c r="C2" s="103"/>
      <c r="D2" s="104"/>
    </row>
    <row r="3" spans="1:7" ht="10" customHeight="1" thickTop="1" x14ac:dyDescent="0.35">
      <c r="A3" s="67"/>
      <c r="B3" s="48"/>
      <c r="C3" s="48"/>
      <c r="D3" s="48"/>
    </row>
    <row r="4" spans="1:7" ht="40" customHeight="1" x14ac:dyDescent="0.35">
      <c r="A4" s="67"/>
      <c r="B4" s="73" t="s">
        <v>0</v>
      </c>
      <c r="C4" s="49"/>
      <c r="D4" s="80" t="s">
        <v>3009</v>
      </c>
    </row>
    <row r="5" spans="1:7" ht="10" customHeight="1" x14ac:dyDescent="0.35">
      <c r="A5" s="67"/>
      <c r="B5" s="49"/>
      <c r="C5" s="49"/>
      <c r="D5" s="51"/>
    </row>
    <row r="6" spans="1:7" ht="40" customHeight="1" x14ac:dyDescent="0.35">
      <c r="A6" s="67"/>
      <c r="B6" s="73" t="s">
        <v>1</v>
      </c>
      <c r="C6" s="49"/>
      <c r="D6" s="80"/>
      <c r="E6" s="75" t="s">
        <v>2</v>
      </c>
    </row>
    <row r="7" spans="1:7" ht="10" customHeight="1" x14ac:dyDescent="0.35">
      <c r="A7" s="67"/>
      <c r="B7" s="49"/>
      <c r="C7" s="49"/>
      <c r="D7" s="51"/>
      <c r="E7" s="52"/>
    </row>
    <row r="8" spans="1:7" ht="40" customHeight="1" x14ac:dyDescent="0.35">
      <c r="A8" s="67"/>
      <c r="B8" s="73" t="s">
        <v>3</v>
      </c>
      <c r="C8" s="49"/>
      <c r="D8" s="80"/>
    </row>
    <row r="9" spans="1:7" ht="10" customHeight="1" x14ac:dyDescent="0.35">
      <c r="A9" s="67"/>
      <c r="B9" s="49"/>
      <c r="C9" s="49"/>
      <c r="D9" s="54"/>
    </row>
    <row r="10" spans="1:7" ht="40" customHeight="1" x14ac:dyDescent="0.35">
      <c r="A10" s="67"/>
      <c r="B10" s="73" t="s">
        <v>3</v>
      </c>
      <c r="C10" s="49"/>
      <c r="D10" s="80"/>
      <c r="E10" s="75" t="s">
        <v>2</v>
      </c>
    </row>
    <row r="11" spans="1:7" ht="10" customHeight="1" x14ac:dyDescent="0.35">
      <c r="A11" s="67"/>
      <c r="B11" s="49"/>
      <c r="C11" s="49"/>
      <c r="D11" s="51"/>
      <c r="E11" s="52"/>
    </row>
    <row r="12" spans="1:7" ht="40" customHeight="1" x14ac:dyDescent="0.35">
      <c r="A12" s="67"/>
      <c r="B12" s="73" t="s">
        <v>4</v>
      </c>
      <c r="C12" s="49"/>
      <c r="D12" s="80"/>
    </row>
    <row r="13" spans="1:7" ht="10" customHeight="1" x14ac:dyDescent="0.35">
      <c r="A13" s="67"/>
      <c r="B13" s="49"/>
      <c r="C13" s="49"/>
      <c r="D13" s="51"/>
    </row>
    <row r="14" spans="1:7" ht="120" customHeight="1" x14ac:dyDescent="0.35">
      <c r="A14" s="67"/>
      <c r="B14" s="73" t="s">
        <v>5</v>
      </c>
      <c r="C14" s="49"/>
      <c r="D14" s="81"/>
    </row>
    <row r="15" spans="1:7" ht="10" customHeight="1" x14ac:dyDescent="0.35">
      <c r="A15" s="67"/>
      <c r="B15" s="49"/>
      <c r="C15" s="49"/>
      <c r="D15" s="54"/>
    </row>
    <row r="16" spans="1:7" ht="70" customHeight="1" x14ac:dyDescent="0.35">
      <c r="A16" s="67"/>
      <c r="B16" s="73" t="s">
        <v>6</v>
      </c>
      <c r="C16" s="49"/>
      <c r="D16" s="68" t="s">
        <v>2900</v>
      </c>
      <c r="E16" s="55"/>
      <c r="F16" s="55"/>
      <c r="G16" s="55"/>
    </row>
    <row r="17" spans="1:10" ht="10" customHeight="1" x14ac:dyDescent="0.35">
      <c r="A17" s="67"/>
      <c r="B17" s="49"/>
      <c r="C17" s="49"/>
      <c r="D17" s="54"/>
      <c r="E17" s="55"/>
      <c r="F17" s="55"/>
      <c r="G17" s="55"/>
    </row>
    <row r="18" spans="1:10" ht="200.15" customHeight="1" x14ac:dyDescent="0.35">
      <c r="A18" s="67"/>
      <c r="B18" s="73" t="s">
        <v>7</v>
      </c>
      <c r="C18" s="49"/>
      <c r="D18" s="80"/>
      <c r="J18" s="57"/>
    </row>
    <row r="19" spans="1:10" ht="10" customHeight="1" x14ac:dyDescent="0.35">
      <c r="A19" s="67"/>
      <c r="B19" s="49"/>
      <c r="C19" s="49"/>
      <c r="D19" s="56"/>
      <c r="J19" s="57"/>
    </row>
    <row r="20" spans="1:10" ht="40" customHeight="1" x14ac:dyDescent="0.35">
      <c r="A20" s="67"/>
      <c r="B20" s="73" t="s">
        <v>8</v>
      </c>
      <c r="C20" s="49"/>
      <c r="D20" s="69"/>
      <c r="E20" s="75" t="s">
        <v>2</v>
      </c>
    </row>
    <row r="21" spans="1:10" ht="10" customHeight="1" x14ac:dyDescent="0.35">
      <c r="A21" s="67"/>
      <c r="B21" s="49"/>
      <c r="C21" s="49"/>
      <c r="D21" s="58"/>
      <c r="E21" s="52"/>
    </row>
    <row r="22" spans="1:10" ht="40" customHeight="1" x14ac:dyDescent="0.35">
      <c r="A22" s="67"/>
      <c r="B22" s="73" t="s">
        <v>9</v>
      </c>
      <c r="C22" s="49"/>
      <c r="D22" s="68"/>
    </row>
    <row r="23" spans="1:10" ht="10" customHeight="1" x14ac:dyDescent="0.35">
      <c r="A23" s="67"/>
      <c r="B23" s="49"/>
      <c r="C23" s="49"/>
      <c r="D23" s="50"/>
    </row>
    <row r="24" spans="1:10" ht="200.15" customHeight="1" x14ac:dyDescent="0.35">
      <c r="A24" s="67"/>
      <c r="B24" s="73" t="s">
        <v>10</v>
      </c>
      <c r="C24" s="49"/>
      <c r="D24" s="69"/>
      <c r="E24" s="59"/>
      <c r="F24" s="75" t="s">
        <v>2</v>
      </c>
    </row>
    <row r="25" spans="1:10" ht="10" customHeight="1" x14ac:dyDescent="0.35">
      <c r="A25" s="67"/>
      <c r="B25" s="49"/>
      <c r="C25" s="49"/>
      <c r="D25" s="56"/>
      <c r="E25" s="59"/>
    </row>
    <row r="26" spans="1:10" ht="40" customHeight="1" x14ac:dyDescent="0.35">
      <c r="A26" s="67"/>
      <c r="B26" s="73" t="s">
        <v>11</v>
      </c>
      <c r="C26" s="49"/>
      <c r="D26" s="69"/>
    </row>
    <row r="27" spans="1:10" ht="10" customHeight="1" x14ac:dyDescent="0.35">
      <c r="A27" s="67"/>
      <c r="B27" s="49"/>
      <c r="C27" s="49"/>
      <c r="D27" s="53"/>
    </row>
    <row r="28" spans="1:10" ht="40" customHeight="1" x14ac:dyDescent="0.35">
      <c r="A28" s="67"/>
      <c r="B28" s="73" t="s">
        <v>12</v>
      </c>
      <c r="C28" s="49"/>
      <c r="D28" s="69" t="s">
        <v>2903</v>
      </c>
    </row>
    <row r="29" spans="1:10" ht="10" customHeight="1" x14ac:dyDescent="0.35">
      <c r="A29" s="67"/>
      <c r="B29" s="49"/>
      <c r="C29" s="49"/>
      <c r="D29" s="53"/>
    </row>
    <row r="30" spans="1:10" ht="40" customHeight="1" x14ac:dyDescent="0.35">
      <c r="A30" s="67"/>
      <c r="B30" s="73" t="s">
        <v>13</v>
      </c>
      <c r="C30" s="49"/>
      <c r="D30" s="69"/>
    </row>
    <row r="31" spans="1:10" ht="10" customHeight="1" x14ac:dyDescent="0.35">
      <c r="A31" s="67"/>
      <c r="B31" s="49"/>
      <c r="C31" s="49"/>
      <c r="D31" s="50"/>
    </row>
    <row r="32" spans="1:10" ht="40" customHeight="1" x14ac:dyDescent="0.35">
      <c r="A32" s="67"/>
      <c r="B32" s="73" t="s">
        <v>14</v>
      </c>
      <c r="C32" s="49"/>
      <c r="D32" s="83"/>
    </row>
    <row r="33" spans="1:5" ht="10" customHeight="1" x14ac:dyDescent="0.35">
      <c r="A33" s="67"/>
      <c r="B33" s="49"/>
      <c r="C33" s="49"/>
      <c r="D33" s="50"/>
    </row>
    <row r="34" spans="1:5" ht="40" customHeight="1" x14ac:dyDescent="0.35">
      <c r="A34" s="67"/>
      <c r="B34" s="73" t="s">
        <v>2990</v>
      </c>
      <c r="C34" s="49"/>
      <c r="D34" s="73" t="s">
        <v>3268</v>
      </c>
    </row>
    <row r="35" spans="1:5" ht="10" customHeight="1" x14ac:dyDescent="0.35">
      <c r="A35" s="67"/>
      <c r="B35" s="49"/>
      <c r="C35" s="49"/>
      <c r="D35" s="50"/>
    </row>
    <row r="36" spans="1:5" ht="40" customHeight="1" x14ac:dyDescent="0.35">
      <c r="A36" s="67"/>
      <c r="B36" s="74">
        <f ca="1">'Data validation'!AT2</f>
        <v>2024</v>
      </c>
      <c r="C36" s="60"/>
      <c r="D36" s="69"/>
      <c r="E36" s="75" t="s">
        <v>2</v>
      </c>
    </row>
    <row r="37" spans="1:5" ht="40" customHeight="1" x14ac:dyDescent="0.35">
      <c r="A37" s="67"/>
      <c r="B37" s="74">
        <f ca="1">'Data validation'!AT3</f>
        <v>2025</v>
      </c>
      <c r="C37" s="60"/>
      <c r="D37" s="69"/>
      <c r="E37" s="75" t="s">
        <v>2</v>
      </c>
    </row>
    <row r="38" spans="1:5" ht="40" customHeight="1" x14ac:dyDescent="0.35">
      <c r="A38" s="67"/>
      <c r="B38" s="74">
        <f ca="1">'Data validation'!AT4</f>
        <v>2026</v>
      </c>
      <c r="C38" s="60"/>
      <c r="D38" s="69"/>
      <c r="E38" s="75" t="s">
        <v>2</v>
      </c>
    </row>
    <row r="39" spans="1:5" ht="40" customHeight="1" x14ac:dyDescent="0.35">
      <c r="A39" s="67"/>
      <c r="B39" s="74">
        <f ca="1">'Data validation'!AT5</f>
        <v>2027</v>
      </c>
      <c r="C39" s="60"/>
      <c r="D39" s="69"/>
      <c r="E39" s="75" t="s">
        <v>2</v>
      </c>
    </row>
    <row r="40" spans="1:5" ht="40" customHeight="1" x14ac:dyDescent="0.35">
      <c r="A40" s="67"/>
      <c r="B40" s="74">
        <f ca="1">'Data validation'!AT6</f>
        <v>2028</v>
      </c>
      <c r="C40" s="60"/>
      <c r="D40" s="69"/>
      <c r="E40" s="75" t="s">
        <v>2</v>
      </c>
    </row>
    <row r="41" spans="1:5" ht="40" customHeight="1" x14ac:dyDescent="0.35">
      <c r="A41" s="67"/>
      <c r="B41" s="74">
        <f ca="1">'Data validation'!AT7</f>
        <v>2029</v>
      </c>
      <c r="C41" s="60"/>
      <c r="D41" s="69"/>
      <c r="E41" s="75" t="s">
        <v>2</v>
      </c>
    </row>
    <row r="42" spans="1:5" ht="40" customHeight="1" x14ac:dyDescent="0.35">
      <c r="A42" s="67"/>
      <c r="B42" s="74">
        <f ca="1">'Data validation'!AT8</f>
        <v>2030</v>
      </c>
      <c r="C42" s="60"/>
      <c r="D42" s="69"/>
      <c r="E42" s="75" t="s">
        <v>2</v>
      </c>
    </row>
    <row r="43" spans="1:5" ht="40" customHeight="1" x14ac:dyDescent="0.35">
      <c r="A43" s="67"/>
      <c r="B43" s="74">
        <f ca="1">'Data validation'!AT9</f>
        <v>2031</v>
      </c>
      <c r="C43" s="60"/>
      <c r="D43" s="69"/>
      <c r="E43" s="75" t="s">
        <v>2</v>
      </c>
    </row>
    <row r="44" spans="1:5" ht="40" customHeight="1" x14ac:dyDescent="0.35">
      <c r="A44" s="67"/>
      <c r="B44" s="74">
        <f ca="1">'Data validation'!AT10</f>
        <v>2032</v>
      </c>
      <c r="C44" s="60"/>
      <c r="D44" s="69"/>
      <c r="E44" s="75" t="s">
        <v>2</v>
      </c>
    </row>
    <row r="45" spans="1:5" ht="40" customHeight="1" x14ac:dyDescent="0.35">
      <c r="A45" s="67"/>
      <c r="B45" s="74">
        <f ca="1">'Data validation'!AT11</f>
        <v>2033</v>
      </c>
      <c r="C45" s="60"/>
      <c r="D45" s="69"/>
      <c r="E45" s="75" t="s">
        <v>2</v>
      </c>
    </row>
    <row r="46" spans="1:5" ht="40" customHeight="1" x14ac:dyDescent="0.35">
      <c r="A46" s="67"/>
      <c r="B46" s="74">
        <f ca="1">'Data validation'!AT12</f>
        <v>2034</v>
      </c>
      <c r="C46" s="60"/>
      <c r="D46" s="69"/>
      <c r="E46" s="75" t="s">
        <v>2</v>
      </c>
    </row>
    <row r="47" spans="1:5" ht="10" customHeight="1" x14ac:dyDescent="0.35">
      <c r="A47" s="67"/>
      <c r="B47" s="49"/>
      <c r="C47" s="60"/>
      <c r="D47" s="58"/>
      <c r="E47" s="52"/>
    </row>
    <row r="48" spans="1:5" ht="40" customHeight="1" x14ac:dyDescent="0.35">
      <c r="A48" s="67"/>
      <c r="B48" s="73" t="s">
        <v>15</v>
      </c>
      <c r="C48" s="49"/>
      <c r="D48" s="70"/>
    </row>
    <row r="49" spans="1:7" ht="10" customHeight="1" x14ac:dyDescent="0.35">
      <c r="A49" s="67"/>
      <c r="B49" s="49"/>
      <c r="C49" s="49"/>
      <c r="D49" s="61"/>
    </row>
    <row r="50" spans="1:7" ht="200.15" customHeight="1" x14ac:dyDescent="0.35">
      <c r="A50" s="67"/>
      <c r="B50" s="73" t="s">
        <v>16</v>
      </c>
      <c r="C50" s="49"/>
      <c r="D50" s="81"/>
    </row>
    <row r="51" spans="1:7" ht="10" customHeight="1" x14ac:dyDescent="0.35">
      <c r="A51" s="67"/>
      <c r="B51" s="49"/>
      <c r="C51" s="49"/>
      <c r="D51" s="56"/>
    </row>
    <row r="52" spans="1:7" ht="20.149999999999999" customHeight="1" x14ac:dyDescent="0.35">
      <c r="A52" s="67"/>
      <c r="B52" s="100" t="s">
        <v>17</v>
      </c>
      <c r="C52" s="60"/>
      <c r="D52" s="70"/>
      <c r="E52" s="101"/>
      <c r="F52" s="101"/>
      <c r="G52" s="101"/>
    </row>
    <row r="53" spans="1:7" ht="20.149999999999999" customHeight="1" x14ac:dyDescent="0.35">
      <c r="A53" s="67"/>
      <c r="B53" s="100"/>
      <c r="C53" s="60"/>
      <c r="D53" s="70"/>
      <c r="E53" s="101"/>
      <c r="F53" s="101"/>
      <c r="G53" s="101"/>
    </row>
    <row r="54" spans="1:7" ht="20.149999999999999" customHeight="1" x14ac:dyDescent="0.35">
      <c r="A54" s="67"/>
      <c r="B54" s="100"/>
      <c r="C54" s="60"/>
      <c r="D54" s="70"/>
      <c r="E54" s="101"/>
      <c r="F54" s="101"/>
      <c r="G54" s="101"/>
    </row>
    <row r="55" spans="1:7" ht="20.149999999999999" customHeight="1" x14ac:dyDescent="0.35">
      <c r="A55" s="67"/>
      <c r="B55" s="100"/>
      <c r="C55" s="60"/>
      <c r="D55" s="70"/>
      <c r="E55" s="101"/>
      <c r="F55" s="101"/>
      <c r="G55" s="101"/>
    </row>
    <row r="56" spans="1:7" ht="20.149999999999999" customHeight="1" x14ac:dyDescent="0.35">
      <c r="A56" s="67"/>
      <c r="B56" s="100"/>
      <c r="C56" s="60"/>
      <c r="D56" s="70"/>
    </row>
    <row r="57" spans="1:7" ht="10" customHeight="1" x14ac:dyDescent="0.35">
      <c r="A57" s="67"/>
      <c r="B57" s="60"/>
      <c r="C57" s="60"/>
      <c r="D57" s="62"/>
    </row>
    <row r="58" spans="1:7" ht="80.150000000000006" customHeight="1" x14ac:dyDescent="0.35">
      <c r="A58" s="67"/>
      <c r="B58" s="73" t="s">
        <v>18</v>
      </c>
      <c r="C58" s="60"/>
      <c r="D58" s="81"/>
    </row>
    <row r="59" spans="1:7" ht="10" customHeight="1" x14ac:dyDescent="0.35">
      <c r="A59" s="67"/>
      <c r="B59" s="60"/>
      <c r="C59" s="60"/>
      <c r="D59" s="62"/>
    </row>
    <row r="60" spans="1:7" ht="80.150000000000006" customHeight="1" x14ac:dyDescent="0.35">
      <c r="A60" s="67"/>
      <c r="B60" s="73" t="s">
        <v>19</v>
      </c>
      <c r="C60" s="49"/>
      <c r="D60" s="81"/>
    </row>
    <row r="61" spans="1:7" ht="10" customHeight="1" x14ac:dyDescent="0.35">
      <c r="A61" s="67"/>
      <c r="B61" s="60"/>
      <c r="C61" s="49"/>
      <c r="D61" s="62"/>
    </row>
    <row r="62" spans="1:7" ht="40" customHeight="1" x14ac:dyDescent="0.35">
      <c r="A62" s="67"/>
      <c r="B62" s="73" t="s">
        <v>20</v>
      </c>
      <c r="C62" s="49"/>
      <c r="D62" s="71"/>
      <c r="E62" s="75" t="s">
        <v>2</v>
      </c>
    </row>
    <row r="63" spans="1:7" ht="10" customHeight="1" x14ac:dyDescent="0.35">
      <c r="A63" s="67"/>
      <c r="B63" s="60"/>
      <c r="C63" s="49"/>
      <c r="D63" s="63"/>
      <c r="E63" s="52"/>
    </row>
    <row r="64" spans="1:7" ht="40" customHeight="1" x14ac:dyDescent="0.35">
      <c r="A64" s="67"/>
      <c r="B64" s="73" t="s">
        <v>21</v>
      </c>
      <c r="C64" s="49"/>
      <c r="D64" s="70"/>
      <c r="E64" s="75" t="s">
        <v>2</v>
      </c>
    </row>
    <row r="65" spans="1:6" ht="10" customHeight="1" x14ac:dyDescent="0.35">
      <c r="A65" s="67"/>
      <c r="B65" s="60"/>
      <c r="C65" s="49"/>
      <c r="D65" s="53"/>
      <c r="E65" s="52"/>
    </row>
    <row r="66" spans="1:6" ht="40" customHeight="1" x14ac:dyDescent="0.35">
      <c r="A66" s="67"/>
      <c r="B66" s="73" t="s">
        <v>22</v>
      </c>
      <c r="C66" s="49"/>
      <c r="D66" s="72"/>
      <c r="E66" s="65"/>
      <c r="F66" s="65"/>
    </row>
    <row r="67" spans="1:6" ht="10" customHeight="1" x14ac:dyDescent="0.35">
      <c r="A67" s="67"/>
      <c r="B67" s="60"/>
      <c r="C67" s="49"/>
      <c r="D67" s="64"/>
      <c r="E67" s="65"/>
      <c r="F67" s="65"/>
    </row>
    <row r="68" spans="1:6" ht="40" customHeight="1" x14ac:dyDescent="0.35">
      <c r="A68" s="67"/>
      <c r="B68" s="73" t="s">
        <v>23</v>
      </c>
      <c r="C68" s="49"/>
      <c r="D68" s="70"/>
      <c r="E68" s="65"/>
      <c r="F68" s="65"/>
    </row>
    <row r="69" spans="1:6" ht="10" customHeight="1" x14ac:dyDescent="0.35">
      <c r="A69" s="67"/>
      <c r="B69" s="60"/>
      <c r="C69" s="49"/>
      <c r="D69" s="58"/>
      <c r="E69" s="65"/>
      <c r="F69" s="65"/>
    </row>
    <row r="70" spans="1:6" ht="40" customHeight="1" x14ac:dyDescent="0.35">
      <c r="A70" s="67"/>
      <c r="B70" s="73" t="s">
        <v>24</v>
      </c>
      <c r="C70" s="49"/>
      <c r="D70" s="81"/>
      <c r="E70" s="65"/>
      <c r="F70" s="65"/>
    </row>
    <row r="71" spans="1:6" ht="10" customHeight="1" x14ac:dyDescent="0.35">
      <c r="A71" s="67"/>
      <c r="B71" s="60"/>
      <c r="C71" s="49"/>
      <c r="D71" s="82"/>
      <c r="E71" s="65"/>
      <c r="F71" s="65"/>
    </row>
    <row r="72" spans="1:6" ht="40" customHeight="1" x14ac:dyDescent="0.35">
      <c r="A72" s="67"/>
      <c r="B72" s="73" t="s">
        <v>2992</v>
      </c>
      <c r="C72" s="49"/>
      <c r="D72" s="81"/>
      <c r="E72" s="65"/>
      <c r="F72" s="65"/>
    </row>
    <row r="73" spans="1:6" ht="10" customHeight="1" x14ac:dyDescent="0.35">
      <c r="A73" s="67"/>
      <c r="B73" s="60"/>
      <c r="C73" s="49"/>
      <c r="D73" s="82"/>
      <c r="E73" s="65"/>
      <c r="F73" s="65"/>
    </row>
    <row r="74" spans="1:6" ht="40" hidden="1" customHeight="1" x14ac:dyDescent="0.35">
      <c r="A74" s="67"/>
      <c r="B74" s="73" t="s">
        <v>3274</v>
      </c>
      <c r="C74" s="49"/>
      <c r="D74" s="69"/>
      <c r="E74" s="65"/>
      <c r="F74" s="65"/>
    </row>
    <row r="75" spans="1:6" ht="10" hidden="1" customHeight="1" x14ac:dyDescent="0.35">
      <c r="A75" s="67"/>
      <c r="B75" s="60"/>
      <c r="C75" s="49"/>
      <c r="D75" s="82"/>
      <c r="E75" s="65"/>
      <c r="F75" s="65"/>
    </row>
    <row r="76" spans="1:6" ht="40" hidden="1" customHeight="1" x14ac:dyDescent="0.35">
      <c r="A76" s="67"/>
      <c r="B76" s="73" t="s">
        <v>3269</v>
      </c>
      <c r="C76" s="49"/>
      <c r="D76" s="81"/>
      <c r="E76" s="65"/>
      <c r="F76" s="65"/>
    </row>
    <row r="77" spans="1:6" ht="10" hidden="1" customHeight="1" x14ac:dyDescent="0.35">
      <c r="A77" s="67"/>
      <c r="B77" s="60"/>
      <c r="C77" s="49"/>
      <c r="D77" s="58"/>
      <c r="E77" s="65"/>
      <c r="F77" s="65"/>
    </row>
    <row r="78" spans="1:6" ht="40" customHeight="1" x14ac:dyDescent="0.35">
      <c r="A78" s="67"/>
      <c r="B78" s="73" t="s">
        <v>2982</v>
      </c>
      <c r="C78" s="49"/>
      <c r="D78" s="70"/>
      <c r="E78" s="65"/>
      <c r="F78" s="65"/>
    </row>
    <row r="79" spans="1:6" ht="10" customHeight="1" x14ac:dyDescent="0.35">
      <c r="A79" s="67"/>
      <c r="B79" s="60"/>
      <c r="C79" s="49"/>
      <c r="D79" s="58"/>
      <c r="E79" s="65"/>
      <c r="F79" s="65"/>
    </row>
    <row r="80" spans="1:6" ht="40" customHeight="1" x14ac:dyDescent="0.35">
      <c r="A80" s="67"/>
      <c r="B80" s="73" t="s">
        <v>2994</v>
      </c>
      <c r="C80" s="49"/>
      <c r="D80" s="69"/>
      <c r="E80" s="75" t="s">
        <v>2</v>
      </c>
      <c r="F80" s="65"/>
    </row>
    <row r="81" spans="1:9" ht="10" customHeight="1" x14ac:dyDescent="0.35">
      <c r="A81" s="67"/>
      <c r="B81" s="60"/>
      <c r="C81" s="49"/>
      <c r="D81" s="58"/>
      <c r="E81" s="65"/>
      <c r="F81" s="65"/>
    </row>
    <row r="82" spans="1:9" ht="40" customHeight="1" x14ac:dyDescent="0.35">
      <c r="A82" s="67"/>
      <c r="B82" s="73" t="s">
        <v>2995</v>
      </c>
      <c r="C82" s="49"/>
      <c r="D82" s="69"/>
      <c r="E82" s="75" t="s">
        <v>2</v>
      </c>
      <c r="F82" s="65"/>
    </row>
    <row r="83" spans="1:9" ht="10" customHeight="1" x14ac:dyDescent="0.35">
      <c r="A83" s="67"/>
      <c r="B83" s="60"/>
      <c r="C83" s="49"/>
      <c r="D83" s="58"/>
      <c r="E83" s="65"/>
      <c r="F83" s="65"/>
    </row>
    <row r="84" spans="1:9" ht="40" customHeight="1" x14ac:dyDescent="0.35">
      <c r="A84" s="67"/>
      <c r="B84" s="73" t="s">
        <v>2996</v>
      </c>
      <c r="C84" s="49"/>
      <c r="D84" s="69"/>
      <c r="E84" s="75" t="s">
        <v>2</v>
      </c>
      <c r="F84" s="65"/>
    </row>
    <row r="85" spans="1:9" ht="10" customHeight="1" x14ac:dyDescent="0.35">
      <c r="A85" s="67"/>
      <c r="B85" s="60"/>
      <c r="C85" s="49"/>
      <c r="D85" s="58"/>
      <c r="E85" s="65"/>
      <c r="F85" s="65"/>
    </row>
    <row r="86" spans="1:9" ht="40" customHeight="1" x14ac:dyDescent="0.35">
      <c r="A86" s="67"/>
      <c r="B86" s="73" t="s">
        <v>25</v>
      </c>
      <c r="C86" s="49"/>
      <c r="D86" s="70"/>
      <c r="E86" s="101"/>
      <c r="F86" s="101"/>
      <c r="G86" s="101"/>
      <c r="H86" s="101"/>
      <c r="I86" s="101"/>
    </row>
    <row r="87" spans="1:9" ht="10" customHeight="1" x14ac:dyDescent="0.35">
      <c r="A87" s="67"/>
      <c r="B87" s="60"/>
      <c r="C87" s="49"/>
      <c r="D87" s="53"/>
      <c r="E87" s="101"/>
      <c r="F87" s="101"/>
      <c r="G87" s="101"/>
      <c r="H87" s="101"/>
      <c r="I87" s="101"/>
    </row>
    <row r="88" spans="1:9" ht="40" customHeight="1" x14ac:dyDescent="0.35">
      <c r="A88" s="67"/>
      <c r="B88" s="73" t="s">
        <v>26</v>
      </c>
      <c r="C88" s="49"/>
      <c r="D88" s="70"/>
      <c r="E88" s="101"/>
      <c r="F88" s="101"/>
      <c r="G88" s="101"/>
      <c r="H88" s="101"/>
      <c r="I88" s="101"/>
    </row>
    <row r="89" spans="1:9" ht="10" customHeight="1" x14ac:dyDescent="0.35">
      <c r="A89" s="67"/>
      <c r="B89" s="60"/>
      <c r="C89" s="49"/>
      <c r="D89" s="53"/>
      <c r="E89" s="101"/>
      <c r="F89" s="101"/>
      <c r="G89" s="101"/>
      <c r="H89" s="101"/>
      <c r="I89" s="101"/>
    </row>
    <row r="90" spans="1:9" ht="40" customHeight="1" x14ac:dyDescent="0.35">
      <c r="A90" s="67"/>
      <c r="B90" s="73" t="s">
        <v>27</v>
      </c>
      <c r="C90" s="49"/>
      <c r="D90" s="70"/>
      <c r="E90" s="101"/>
      <c r="F90" s="101"/>
      <c r="G90" s="101"/>
      <c r="H90" s="101"/>
      <c r="I90" s="101"/>
    </row>
    <row r="91" spans="1:9" ht="10" customHeight="1" x14ac:dyDescent="0.35">
      <c r="A91" s="67"/>
      <c r="B91" s="60"/>
      <c r="C91" s="49"/>
      <c r="D91" s="53"/>
      <c r="E91" s="66"/>
      <c r="F91" s="66"/>
      <c r="G91" s="66"/>
      <c r="H91" s="66"/>
      <c r="I91" s="66"/>
    </row>
    <row r="92" spans="1:9" ht="40" customHeight="1" x14ac:dyDescent="0.35">
      <c r="A92" s="67"/>
      <c r="B92" s="73" t="s">
        <v>28</v>
      </c>
      <c r="C92" s="49"/>
      <c r="D92" s="70"/>
    </row>
    <row r="93" spans="1:9" ht="10" customHeight="1" x14ac:dyDescent="0.35">
      <c r="A93" s="67"/>
      <c r="B93" s="60"/>
      <c r="C93" s="49"/>
      <c r="D93" s="53"/>
    </row>
    <row r="94" spans="1:9" ht="40" hidden="1" customHeight="1" x14ac:dyDescent="0.35">
      <c r="A94" s="67"/>
      <c r="B94" s="73" t="s">
        <v>30</v>
      </c>
      <c r="C94" s="49"/>
      <c r="D94" s="70"/>
      <c r="E94" s="101"/>
      <c r="F94" s="101"/>
      <c r="G94" s="101"/>
    </row>
    <row r="95" spans="1:9" ht="10" hidden="1" customHeight="1" x14ac:dyDescent="0.35">
      <c r="A95" s="67"/>
      <c r="B95" s="60"/>
      <c r="C95" s="49"/>
      <c r="D95" s="53"/>
      <c r="E95" s="101"/>
      <c r="F95" s="101"/>
      <c r="G95" s="101"/>
    </row>
    <row r="96" spans="1:9" ht="40" hidden="1" customHeight="1" x14ac:dyDescent="0.35">
      <c r="A96" s="67"/>
      <c r="B96" s="73" t="s">
        <v>31</v>
      </c>
      <c r="C96" s="49"/>
      <c r="D96" s="70"/>
      <c r="E96" s="101"/>
      <c r="F96" s="101"/>
      <c r="G96" s="101"/>
    </row>
    <row r="97" spans="1:7" ht="10" hidden="1" customHeight="1" x14ac:dyDescent="0.35">
      <c r="A97" s="67"/>
      <c r="B97" s="60"/>
      <c r="C97" s="49"/>
      <c r="D97" s="53"/>
      <c r="E97" s="101"/>
      <c r="F97" s="101"/>
      <c r="G97" s="101"/>
    </row>
    <row r="98" spans="1:7" ht="40" hidden="1" customHeight="1" x14ac:dyDescent="0.35">
      <c r="A98" s="67"/>
      <c r="B98" s="73" t="s">
        <v>2989</v>
      </c>
      <c r="C98" s="49"/>
      <c r="D98" s="70"/>
      <c r="E98" s="101"/>
      <c r="F98" s="101"/>
      <c r="G98" s="101"/>
    </row>
    <row r="99" spans="1:7" ht="10" hidden="1" customHeight="1" x14ac:dyDescent="0.35">
      <c r="A99" s="67"/>
      <c r="B99" s="60"/>
      <c r="C99" s="49"/>
      <c r="D99" s="53"/>
      <c r="E99" s="101"/>
      <c r="F99" s="101"/>
      <c r="G99" s="101"/>
    </row>
    <row r="100" spans="1:7" ht="40" hidden="1" customHeight="1" x14ac:dyDescent="0.35">
      <c r="A100" s="67"/>
      <c r="B100" s="73" t="s">
        <v>2988</v>
      </c>
      <c r="C100" s="49"/>
      <c r="D100" s="70"/>
      <c r="E100" s="101"/>
      <c r="F100" s="101"/>
      <c r="G100" s="101"/>
    </row>
    <row r="101" spans="1:7" ht="40" customHeight="1" x14ac:dyDescent="0.35">
      <c r="A101" s="67"/>
      <c r="D101" s="67"/>
      <c r="E101" s="101"/>
      <c r="F101" s="101"/>
      <c r="G101" s="101"/>
    </row>
    <row r="102" spans="1:7" ht="40" customHeight="1" x14ac:dyDescent="0.35">
      <c r="A102" s="67"/>
      <c r="D102" s="67"/>
      <c r="E102" s="101"/>
      <c r="F102" s="101"/>
      <c r="G102" s="101"/>
    </row>
    <row r="103" spans="1:7" ht="40" customHeight="1" x14ac:dyDescent="0.35">
      <c r="D103" s="67"/>
      <c r="E103" s="101"/>
      <c r="F103" s="101"/>
      <c r="G103" s="101"/>
    </row>
    <row r="104" spans="1:7" ht="40" customHeight="1" x14ac:dyDescent="0.35">
      <c r="D104" s="67"/>
      <c r="E104" s="101"/>
      <c r="F104" s="101"/>
      <c r="G104" s="101"/>
    </row>
    <row r="105" spans="1:7" ht="40" customHeight="1" x14ac:dyDescent="0.35">
      <c r="D105" s="67"/>
    </row>
    <row r="106" spans="1:7" ht="40" customHeight="1" x14ac:dyDescent="0.35">
      <c r="D106" s="67"/>
    </row>
    <row r="107" spans="1:7" ht="40" customHeight="1" x14ac:dyDescent="0.35">
      <c r="D107" s="67"/>
    </row>
    <row r="108" spans="1:7" ht="40" customHeight="1" x14ac:dyDescent="0.35">
      <c r="D108" s="67"/>
    </row>
    <row r="109" spans="1:7" ht="40" customHeight="1" x14ac:dyDescent="0.35">
      <c r="D109" s="67"/>
    </row>
    <row r="110" spans="1:7" ht="40" customHeight="1" x14ac:dyDescent="0.35">
      <c r="D110" s="67"/>
    </row>
    <row r="111" spans="1:7" ht="40" customHeight="1" x14ac:dyDescent="0.35">
      <c r="D111" s="67"/>
    </row>
    <row r="112" spans="1:7" ht="40" customHeight="1" x14ac:dyDescent="0.35">
      <c r="D112" s="67"/>
    </row>
    <row r="113" spans="4:4" ht="40" customHeight="1" x14ac:dyDescent="0.35">
      <c r="D113" s="67"/>
    </row>
    <row r="114" spans="4:4" ht="40" customHeight="1" x14ac:dyDescent="0.35">
      <c r="D114" s="67"/>
    </row>
    <row r="115" spans="4:4" x14ac:dyDescent="0.35">
      <c r="D115" s="67"/>
    </row>
    <row r="116" spans="4:4" x14ac:dyDescent="0.35">
      <c r="D116" s="67"/>
    </row>
    <row r="117" spans="4:4" x14ac:dyDescent="0.35">
      <c r="D117" s="67"/>
    </row>
    <row r="118" spans="4:4" x14ac:dyDescent="0.35">
      <c r="D118" s="67"/>
    </row>
    <row r="119" spans="4:4" x14ac:dyDescent="0.35">
      <c r="D119" s="67"/>
    </row>
    <row r="120" spans="4:4" x14ac:dyDescent="0.35">
      <c r="D120" s="67"/>
    </row>
    <row r="121" spans="4:4" x14ac:dyDescent="0.35">
      <c r="D121" s="67"/>
    </row>
    <row r="122" spans="4:4" x14ac:dyDescent="0.35">
      <c r="D122" s="67"/>
    </row>
    <row r="123" spans="4:4" x14ac:dyDescent="0.35">
      <c r="D123" s="67"/>
    </row>
    <row r="124" spans="4:4" x14ac:dyDescent="0.35">
      <c r="D124" s="67"/>
    </row>
    <row r="125" spans="4:4" x14ac:dyDescent="0.35">
      <c r="D125" s="67"/>
    </row>
  </sheetData>
  <sheetProtection algorithmName="SHA-512" hashValue="xJWHA2BBZiCgcPsopoZ0PLguc7IqVtnRcciHDUzuOGfpPtIVYTaoWZ9K/fDXsmCUwNoPiyTm9f62PM2uL163VA==" saltValue="rhzd1iMc7h/QsXVoB0l2IQ==" spinCount="100000" sheet="1" objects="1" scenarios="1" selectLockedCells="1"/>
  <mergeCells count="6">
    <mergeCell ref="B52:B56"/>
    <mergeCell ref="E94:G100"/>
    <mergeCell ref="E101:G104"/>
    <mergeCell ref="B2:D2"/>
    <mergeCell ref="E52:G55"/>
    <mergeCell ref="E86:I90"/>
  </mergeCells>
  <dataValidations count="3">
    <dataValidation allowBlank="1" showDropDown="1" showInputMessage="1" showErrorMessage="1" sqref="D16:D17 D6:D7 D9:D10 D88:D89 D91 D79:D85 D77" xr:uid="{416B9D53-FD91-435A-A5AC-EA612E4ED1D0}"/>
    <dataValidation type="custom" allowBlank="1" showInputMessage="1" showErrorMessage="1" errorTitle="WRONG FORMAT" error="Please enter value using format e.g 100,000.00" sqref="D20:D21" xr:uid="{3EC793C7-3961-4F54-B0C6-F38623729AC1}">
      <formula1>ISNUMBER(D20)</formula1>
    </dataValidation>
    <dataValidation allowBlank="1" showDropDown="1" showInputMessage="1" sqref="D72" xr:uid="{D5C4942C-3FC3-4566-9F89-F237F679CD7B}"/>
  </dataValidations>
  <hyperlinks>
    <hyperlink ref="E64" location="'Request for approval'!C34" tooltip="Only fill this field if supplier is not ok with soft copy" display="？" xr:uid="{62FD93BC-4878-4670-A4B3-51F226F8F426}"/>
    <hyperlink ref="E6" location="'Request for approval'!C3" tooltip="Please Input the name of the business requester first and always use &quot;;&quot; as the seperator " display="？" xr:uid="{A7D91824-497D-4C7D-BA78-9C97B47CB9F1}"/>
    <hyperlink ref="E20" location="'Request for approval'!C8" tooltip="Format must be eg. 100,000.00" display="？" xr:uid="{8A1E9146-A435-4B74-80D6-FD369AE6AAA4}"/>
    <hyperlink ref="E10" location="'Request for approval'!C5" tooltip="Use only if supplier not on list" display="？" xr:uid="{054EBA2A-6AED-4BFE-BE51-DC271785A5D3}"/>
    <hyperlink ref="E62" location="'Request for approval'!C34" tooltip="Do not provide an email address if the contract is to be signed via docu sign" display="？" xr:uid="{13AC8B84-9BE1-4D4E-8288-E5DC4C541636}"/>
    <hyperlink ref="F24" location="'Request for approval'!C8" tooltip="Click &quot;CT Increase&quot; only If the contract value is increasing due to an amendment extending the contract term" display="？" xr:uid="{32B0A388-819F-4422-BBF3-02E9D3CB26CA}"/>
    <hyperlink ref="E36" location="'Request for approval'!C19" tooltip="Format must be eg. 100,000.00" display="？" xr:uid="{0FAA4916-AAB7-43C1-B1F6-D43B9139E946}"/>
    <hyperlink ref="E37" location="'Request for approval'!C20" tooltip="Format must be eg. 100,000.00" display="？" xr:uid="{14B8906A-1016-43C6-9014-99D14B4D6613}"/>
    <hyperlink ref="E38" location="'Request for approval'!C21" tooltip="Format must be eg. 100,000.00" display="？" xr:uid="{C07A655D-B2B6-4017-886C-05302CC9F841}"/>
    <hyperlink ref="E39" location="'Request for approval'!C22" tooltip="Format must be eg. 100,000.00" display="？" xr:uid="{D013B1BD-E0A7-4519-A696-BAE60D1411E2}"/>
    <hyperlink ref="E40" location="'Request for approval'!C23" tooltip="Format must be eg. 100,000.00" display="？" xr:uid="{10F5B0BE-6CD7-4106-BABF-928B32C134F0}"/>
    <hyperlink ref="E41" location="'Request for approval'!C24" tooltip="Format must be eg. 100,000.00" display="？" xr:uid="{517955FB-7AD1-4B94-BF83-22CD0D2F314A}"/>
    <hyperlink ref="E42" location="'Request for approval'!C25" tooltip="Format must be eg. 100,000.00" display="？" xr:uid="{53A6B775-FA71-42C4-8421-40D86CD0B52A}"/>
    <hyperlink ref="E43" location="'Request for approval'!C26" tooltip="Format must be eg. 100,000.00" display="？" xr:uid="{5569D19A-A93A-422D-B246-3376FF1FBA2A}"/>
    <hyperlink ref="E44" location="'Request for approval'!C27" tooltip="Format must be eg. 100,000.00" display="？" xr:uid="{04E9C104-EDBF-48F8-9B94-5FFF5A12A64E}"/>
    <hyperlink ref="E45" location="'Request for approval'!C28" tooltip="Format must be eg. 100,000.00" display="？" xr:uid="{643295B5-DADB-4FFB-8E59-ADFA4C6D68D3}"/>
    <hyperlink ref="E46" location="'Request for approval'!C29" tooltip="Format must be eg. 100,000.00" display="？" xr:uid="{AF02E2C3-3D95-4527-8C32-2F8E153B02FB}"/>
    <hyperlink ref="E80" location="'Request for approval'!A82" tooltip="Difference between (1) the final price of the winning Candidate and (2) the average of the final prices of the other Candidates. " display="？" xr:uid="{0E7A6965-6173-4BC0-9951-EEEE60E41245}"/>
    <hyperlink ref="E82" location="'Request for approval'!C80" tooltip="Difference between (1) the original price of the winning Candidate and (2) the final price of the winning Candidate + plus other quantifiable benefits achieved during negotiations, if any." display="？" xr:uid="{3C4803D4-E68F-42E3-B52B-783681D2D17A}"/>
    <hyperlink ref="E84" location="'Request for approval'!C82" tooltip="When the incumbent provider loses the tender, the difference between the incumbent's final price and the winning candidate's final price, minus any costs incurred from changing providers (e.g., configuring a new IT tool)." display="？" xr:uid="{899F203C-FC93-404A-A30E-371B0BE1D02B}"/>
  </hyperlinks>
  <pageMargins left="0.7" right="0.7" top="0.75" bottom="0.75" header="0.3" footer="0.3"/>
  <pageSetup paperSize="9" orientation="portrait" r:id="rId1"/>
  <headerFooter>
    <oddHeader>&amp;R&amp;"Calibri"&amp;10&amp;K000000Internal Use&amp;1#</oddHeader>
  </headerFooter>
  <drawing r:id="rId2"/>
  <legacyDrawing r:id="rId3"/>
  <controls>
    <mc:AlternateContent xmlns:mc="http://schemas.openxmlformats.org/markup-compatibility/2006">
      <mc:Choice Requires="x14">
        <control shapeId="1029" r:id="rId4" name="Tempcombo">
          <controlPr defaultSize="0" autoLine="0" r:id="rId5">
            <anchor moveWithCells="1">
              <from>
                <xdr:col>3</xdr:col>
                <xdr:colOff>0</xdr:colOff>
                <xdr:row>3</xdr:row>
                <xdr:rowOff>0</xdr:rowOff>
              </from>
              <to>
                <xdr:col>4</xdr:col>
                <xdr:colOff>63500</xdr:colOff>
                <xdr:row>4</xdr:row>
                <xdr:rowOff>63500</xdr:rowOff>
              </to>
            </anchor>
          </controlPr>
        </control>
      </mc:Choice>
      <mc:Fallback>
        <control shapeId="1029" r:id="rId4" name="Tempcombo"/>
      </mc:Fallback>
    </mc:AlternateContent>
    <mc:AlternateContent xmlns:mc="http://schemas.openxmlformats.org/markup-compatibility/2006">
      <mc:Choice Requires="x14">
        <control shapeId="1032" r:id="rId6" name="Button 8">
          <controlPr defaultSize="0" print="0" autoFill="0" autoPict="0" macro="[0]!FROM">
            <anchor>
              <from>
                <xdr:col>4</xdr:col>
                <xdr:colOff>44450</xdr:colOff>
                <xdr:row>15</xdr:row>
                <xdr:rowOff>38100</xdr:rowOff>
              </from>
              <to>
                <xdr:col>4</xdr:col>
                <xdr:colOff>1085850</xdr:colOff>
                <xdr:row>15</xdr:row>
                <xdr:rowOff>285750</xdr:rowOff>
              </to>
            </anchor>
          </controlPr>
        </control>
      </mc:Choice>
    </mc:AlternateContent>
    <mc:AlternateContent xmlns:mc="http://schemas.openxmlformats.org/markup-compatibility/2006">
      <mc:Choice Requires="x14">
        <control shapeId="1033" r:id="rId7" name="Button 9">
          <controlPr defaultSize="0" print="0" autoFill="0" autoPict="0" macro="[0]!newenddate">
            <anchor>
              <from>
                <xdr:col>4</xdr:col>
                <xdr:colOff>44450</xdr:colOff>
                <xdr:row>15</xdr:row>
                <xdr:rowOff>317500</xdr:rowOff>
              </from>
              <to>
                <xdr:col>4</xdr:col>
                <xdr:colOff>1085850</xdr:colOff>
                <xdr:row>15</xdr:row>
                <xdr:rowOff>565150</xdr:rowOff>
              </to>
            </anchor>
          </controlPr>
        </control>
      </mc:Choice>
    </mc:AlternateContent>
    <mc:AlternateContent xmlns:mc="http://schemas.openxmlformats.org/markup-compatibility/2006">
      <mc:Choice Requires="x14">
        <control shapeId="1034" r:id="rId8" name="Button 10">
          <controlPr defaultSize="0" print="0" autoFill="0" autoPict="0" macro="[0]!noimpact">
            <anchor>
              <from>
                <xdr:col>4</xdr:col>
                <xdr:colOff>44450</xdr:colOff>
                <xdr:row>15</xdr:row>
                <xdr:rowOff>609600</xdr:rowOff>
              </from>
              <to>
                <xdr:col>4</xdr:col>
                <xdr:colOff>1085850</xdr:colOff>
                <xdr:row>15</xdr:row>
                <xdr:rowOff>857250</xdr:rowOff>
              </to>
            </anchor>
          </controlPr>
        </control>
      </mc:Choice>
    </mc:AlternateContent>
    <mc:AlternateContent xmlns:mc="http://schemas.openxmlformats.org/markup-compatibility/2006">
      <mc:Choice Requires="x14">
        <control shapeId="1035" r:id="rId9" name="Button 11">
          <controlPr defaultSize="0" print="0" autoFill="0" autoPict="0" macro="[0]!Automation">
            <anchor>
              <from>
                <xdr:col>4</xdr:col>
                <xdr:colOff>88900</xdr:colOff>
                <xdr:row>0</xdr:row>
                <xdr:rowOff>184150</xdr:rowOff>
              </from>
              <to>
                <xdr:col>6</xdr:col>
                <xdr:colOff>95250</xdr:colOff>
                <xdr:row>1</xdr:row>
                <xdr:rowOff>431800</xdr:rowOff>
              </to>
            </anchor>
          </controlPr>
        </control>
      </mc:Choice>
    </mc:AlternateContent>
    <mc:AlternateContent xmlns:mc="http://schemas.openxmlformats.org/markup-compatibility/2006">
      <mc:Choice Requires="x14">
        <control shapeId="1036" r:id="rId10" name="Button 12">
          <controlPr defaultSize="0" print="0" autoFill="0" autoPict="0" macro="[0]!Increase">
            <anchor>
              <from>
                <xdr:col>4</xdr:col>
                <xdr:colOff>38100</xdr:colOff>
                <xdr:row>23</xdr:row>
                <xdr:rowOff>730250</xdr:rowOff>
              </from>
              <to>
                <xdr:col>4</xdr:col>
                <xdr:colOff>1098550</xdr:colOff>
                <xdr:row>23</xdr:row>
                <xdr:rowOff>977900</xdr:rowOff>
              </to>
            </anchor>
          </controlPr>
        </control>
      </mc:Choice>
    </mc:AlternateContent>
    <mc:AlternateContent xmlns:mc="http://schemas.openxmlformats.org/markup-compatibility/2006">
      <mc:Choice Requires="x14">
        <control shapeId="1037" r:id="rId11" name="Button 13">
          <controlPr defaultSize="0" print="0" autoFill="0" autoPict="0" macro="[0]!decrease">
            <anchor>
              <from>
                <xdr:col>4</xdr:col>
                <xdr:colOff>38100</xdr:colOff>
                <xdr:row>23</xdr:row>
                <xdr:rowOff>1085850</xdr:rowOff>
              </from>
              <to>
                <xdr:col>4</xdr:col>
                <xdr:colOff>1098550</xdr:colOff>
                <xdr:row>23</xdr:row>
                <xdr:rowOff>1333500</xdr:rowOff>
              </to>
            </anchor>
          </controlPr>
        </control>
      </mc:Choice>
    </mc:AlternateContent>
    <mc:AlternateContent xmlns:mc="http://schemas.openxmlformats.org/markup-compatibility/2006">
      <mc:Choice Requires="x14">
        <control shapeId="1038" r:id="rId12" name="Button 14">
          <controlPr defaultSize="0" print="0" autoFill="0" autoPict="0" macro="[0]!without">
            <anchor>
              <from>
                <xdr:col>4</xdr:col>
                <xdr:colOff>38100</xdr:colOff>
                <xdr:row>23</xdr:row>
                <xdr:rowOff>1447800</xdr:rowOff>
              </from>
              <to>
                <xdr:col>4</xdr:col>
                <xdr:colOff>1098550</xdr:colOff>
                <xdr:row>23</xdr:row>
                <xdr:rowOff>1695450</xdr:rowOff>
              </to>
            </anchor>
          </controlPr>
        </control>
      </mc:Choice>
    </mc:AlternateContent>
    <mc:AlternateContent xmlns:mc="http://schemas.openxmlformats.org/markup-compatibility/2006">
      <mc:Choice Requires="x14">
        <control shapeId="1039" r:id="rId13" name="Button 15">
          <controlPr defaultSize="0" print="0" autoFill="0" autoPict="0" macro="[0]!Tenderconsultant">
            <anchor moveWithCells="1">
              <from>
                <xdr:col>4</xdr:col>
                <xdr:colOff>1130300</xdr:colOff>
                <xdr:row>91</xdr:row>
                <xdr:rowOff>44450</xdr:rowOff>
              </from>
              <to>
                <xdr:col>5</xdr:col>
                <xdr:colOff>1028700</xdr:colOff>
                <xdr:row>91</xdr:row>
                <xdr:rowOff>260350</xdr:rowOff>
              </to>
            </anchor>
          </controlPr>
        </control>
      </mc:Choice>
    </mc:AlternateContent>
    <mc:AlternateContent xmlns:mc="http://schemas.openxmlformats.org/markup-compatibility/2006">
      <mc:Choice Requires="x14">
        <control shapeId="1040" r:id="rId14" name="Button 16">
          <controlPr defaultSize="0" print="0" autoFill="0" autoPict="0" macro="[0]!Tendernotconsultant">
            <anchor moveWithCells="1">
              <from>
                <xdr:col>4</xdr:col>
                <xdr:colOff>1130300</xdr:colOff>
                <xdr:row>91</xdr:row>
                <xdr:rowOff>273050</xdr:rowOff>
              </from>
              <to>
                <xdr:col>5</xdr:col>
                <xdr:colOff>1028700</xdr:colOff>
                <xdr:row>91</xdr:row>
                <xdr:rowOff>482600</xdr:rowOff>
              </to>
            </anchor>
          </controlPr>
        </control>
      </mc:Choice>
    </mc:AlternateContent>
    <mc:AlternateContent xmlns:mc="http://schemas.openxmlformats.org/markup-compatibility/2006">
      <mc:Choice Requires="x14">
        <control shapeId="1042" r:id="rId15" name="Button 18">
          <controlPr defaultSize="0" print="0" autoFill="0" autoPict="0" macro="[0]!TenderHidetip">
            <anchor moveWithCells="1">
              <from>
                <xdr:col>4</xdr:col>
                <xdr:colOff>57150</xdr:colOff>
                <xdr:row>91</xdr:row>
                <xdr:rowOff>266700</xdr:rowOff>
              </from>
              <to>
                <xdr:col>4</xdr:col>
                <xdr:colOff>1098550</xdr:colOff>
                <xdr:row>91</xdr:row>
                <xdr:rowOff>476250</xdr:rowOff>
              </to>
            </anchor>
          </controlPr>
        </control>
      </mc:Choice>
    </mc:AlternateContent>
    <mc:AlternateContent xmlns:mc="http://schemas.openxmlformats.org/markup-compatibility/2006">
      <mc:Choice Requires="x14">
        <control shapeId="1044" r:id="rId16" name="Button 20">
          <controlPr defaultSize="0" print="0" autoFill="0" autoPict="0" macro="[0]!Tendershowtip">
            <anchor moveWithCells="1">
              <from>
                <xdr:col>4</xdr:col>
                <xdr:colOff>57150</xdr:colOff>
                <xdr:row>91</xdr:row>
                <xdr:rowOff>38100</xdr:rowOff>
              </from>
              <to>
                <xdr:col>4</xdr:col>
                <xdr:colOff>1098550</xdr:colOff>
                <xdr:row>91</xdr:row>
                <xdr:rowOff>241300</xdr:rowOff>
              </to>
            </anchor>
          </controlPr>
        </control>
      </mc:Choice>
    </mc:AlternateContent>
    <mc:AlternateContent xmlns:mc="http://schemas.openxmlformats.org/markup-compatibility/2006">
      <mc:Choice Requires="x14">
        <control shapeId="1045" r:id="rId17" name="Button 21">
          <controlPr defaultSize="0" print="0" autoFill="0" autoPict="0" macro="[0]!CTINCREASE">
            <anchor>
              <from>
                <xdr:col>4</xdr:col>
                <xdr:colOff>38100</xdr:colOff>
                <xdr:row>23</xdr:row>
                <xdr:rowOff>412750</xdr:rowOff>
              </from>
              <to>
                <xdr:col>4</xdr:col>
                <xdr:colOff>1098550</xdr:colOff>
                <xdr:row>23</xdr:row>
                <xdr:rowOff>660400</xdr:rowOff>
              </to>
            </anchor>
          </controlPr>
        </control>
      </mc:Choice>
    </mc:AlternateContent>
    <mc:AlternateContent xmlns:mc="http://schemas.openxmlformats.org/markup-compatibility/2006">
      <mc:Choice Requires="x14">
        <control shapeId="1047" r:id="rId18" name="Button 23">
          <controlPr defaultSize="0" print="0" autoFill="0" autoPict="0" macro="[0]!HOME">
            <anchor>
              <from>
                <xdr:col>4</xdr:col>
                <xdr:colOff>88900</xdr:colOff>
                <xdr:row>1</xdr:row>
                <xdr:rowOff>476250</xdr:rowOff>
              </from>
              <to>
                <xdr:col>6</xdr:col>
                <xdr:colOff>95250</xdr:colOff>
                <xdr:row>2</xdr:row>
                <xdr:rowOff>38100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2" id="{4CDB4F50-6DBB-4F8C-89F9-52ECCB18504B}">
            <xm:f>Consultant!$C$9=0</xm:f>
            <x14:dxf>
              <font>
                <color theme="2"/>
              </font>
              <fill>
                <patternFill>
                  <bgColor theme="2"/>
                </patternFill>
              </fill>
              <border>
                <right/>
                <top/>
                <bottom/>
                <vertical/>
                <horizontal/>
              </border>
            </x14:dxf>
          </x14:cfRule>
          <xm:sqref>F24</xm:sqref>
        </x14:conditionalFormatting>
        <x14:conditionalFormatting xmlns:xm="http://schemas.microsoft.com/office/excel/2006/main">
          <x14:cfRule type="expression" priority="1" id="{27FEAF3F-D71B-4839-826A-10ECB4EB0A63}">
            <xm:f>'Data validation'!$BF$1=1</xm:f>
            <x14:dxf>
              <font>
                <color theme="2"/>
              </font>
              <fill>
                <patternFill>
                  <bgColor theme="2"/>
                </patternFill>
              </fill>
              <border>
                <left/>
                <right/>
                <top/>
                <bottom/>
                <vertical/>
                <horizontal/>
              </border>
            </x14:dxf>
          </x14:cfRule>
          <xm:sqref>B94:D100</xm:sqref>
        </x14:conditionalFormatting>
      </x14:conditionalFormattings>
    </ext>
    <ext xmlns:x14="http://schemas.microsoft.com/office/spreadsheetml/2009/9/main" uri="{CCE6A557-97BC-4b89-ADB6-D9C93CAAB3DF}">
      <x14:dataValidations xmlns:xm="http://schemas.microsoft.com/office/excel/2006/main" count="14">
        <x14:dataValidation type="list" allowBlank="1" showDropDown="1" showInputMessage="1" showErrorMessage="1" xr:uid="{1C1B0B21-3E5B-42C0-8021-975F1472A8F0}">
          <x14:formula1>
            <xm:f>'Data validation'!$D$2:$D$8</xm:f>
          </x14:formula1>
          <xm:sqref>D22:D23</xm:sqref>
        </x14:dataValidation>
        <x14:dataValidation type="list" allowBlank="1" showDropDown="1" showInputMessage="1" showErrorMessage="1" xr:uid="{6E47149D-421F-4699-90A2-341EAE8BC0D3}">
          <x14:formula1>
            <xm:f>'Data validation'!$E$3</xm:f>
          </x14:formula1>
          <xm:sqref>D64:D65</xm:sqref>
        </x14:dataValidation>
        <x14:dataValidation type="list" allowBlank="1" showDropDown="1" showInputMessage="1" showErrorMessage="1" xr:uid="{F777E9F0-CF74-44F7-8868-BF4078121013}">
          <x14:formula1>
            <xm:f>'Data validation'!$F$2:$F$24</xm:f>
          </x14:formula1>
          <xm:sqref>D86:D87</xm:sqref>
        </x14:dataValidation>
        <x14:dataValidation type="list" allowBlank="1" showDropDown="1" showInputMessage="1" showErrorMessage="1" xr:uid="{FF1BFDC3-59D0-4F2F-B383-3D1FA83F49F1}">
          <x14:formula1>
            <xm:f>'Supplier Data'!$A$2:$A$1989</xm:f>
          </x14:formula1>
          <xm:sqref>D8</xm:sqref>
        </x14:dataValidation>
        <x14:dataValidation type="list" allowBlank="1" showDropDown="1" showInputMessage="1" showErrorMessage="1" xr:uid="{237658A8-C9A8-4EFB-987B-27356E7F7562}">
          <x14:formula1>
            <xm:f>'Data validation'!$C$2:$C$10</xm:f>
          </x14:formula1>
          <xm:sqref>D90</xm:sqref>
        </x14:dataValidation>
        <x14:dataValidation type="list" allowBlank="1" showDropDown="1" showInputMessage="1" showErrorMessage="1" xr:uid="{9CB0A81D-B850-421C-8954-0D8883DD6438}">
          <x14:formula1>
            <xm:f>'Data validation'!$B$2:$B$9</xm:f>
          </x14:formula1>
          <xm:sqref>D26</xm:sqref>
        </x14:dataValidation>
        <x14:dataValidation type="list" allowBlank="1" showDropDown="1" showInputMessage="1" showErrorMessage="1" xr:uid="{0D8CCF42-AB8E-4F37-B815-16B19D710837}">
          <x14:formula1>
            <xm:f>'Data validation'!$AV$1:$AV$35</xm:f>
          </x14:formula1>
          <xm:sqref>D4</xm:sqref>
        </x14:dataValidation>
        <x14:dataValidation type="list" allowBlank="1" showDropDown="1" showInputMessage="1" showErrorMessage="1" xr:uid="{7809D32E-3822-481B-81E9-6F9A8A18FEE1}">
          <x14:formula1>
            <xm:f>'Data validation'!$AK$1:$AK$10</xm:f>
          </x14:formula1>
          <xm:sqref>D94</xm:sqref>
        </x14:dataValidation>
        <x14:dataValidation type="list" allowBlank="1" showDropDown="1" showInputMessage="1" showErrorMessage="1" xr:uid="{0A119516-2056-4A9C-B969-AB4138F7B723}">
          <x14:formula1>
            <xm:f>'Data validation'!$AM$1:$AM$5</xm:f>
          </x14:formula1>
          <xm:sqref>D96</xm:sqref>
        </x14:dataValidation>
        <x14:dataValidation type="list" allowBlank="1" showDropDown="1" showInputMessage="1" showErrorMessage="1" xr:uid="{80EC8066-3B43-40BB-84A2-675688A1ACB1}">
          <x14:formula1>
            <xm:f>'Data validation'!$AN$1:$AN$5</xm:f>
          </x14:formula1>
          <xm:sqref>D98</xm:sqref>
        </x14:dataValidation>
        <x14:dataValidation type="list" allowBlank="1" showDropDown="1" showInputMessage="1" showErrorMessage="1" xr:uid="{B8A08A9D-8812-47E8-8DC7-AE03FFE76B83}">
          <x14:formula1>
            <xm:f>'Data validation'!$AO$1:$AO$4</xm:f>
          </x14:formula1>
          <xm:sqref>D100</xm:sqref>
        </x14:dataValidation>
        <x14:dataValidation type="list" allowBlank="1" showDropDown="1" showInputMessage="1" showErrorMessage="1" xr:uid="{20F97D2E-967E-4D4A-94CE-F44AB9729710}">
          <x14:formula1>
            <xm:f>'Data validation'!$AR$1:$AR$3</xm:f>
          </x14:formula1>
          <xm:sqref>D78</xm:sqref>
        </x14:dataValidation>
        <x14:dataValidation type="list" allowBlank="1" showDropDown="1" showInputMessage="1" showErrorMessage="1" xr:uid="{D47AE866-954B-4ECA-ADD2-A08FF52D8CDA}">
          <x14:formula1>
            <xm:f>'Data validation'!$AY$1:$AY$18</xm:f>
          </x14:formula1>
          <xm:sqref>D76</xm:sqref>
        </x14:dataValidation>
        <x14:dataValidation type="list" allowBlank="1" showDropDown="1" showInputMessage="1" showErrorMessage="1" xr:uid="{F5C30A20-09A3-45BD-A327-6295BECC38C3}">
          <x14:formula1>
            <xm:f>'Data validation'!$AZ$1:$AZ$4</xm:f>
          </x14:formula1>
          <xm:sqref>D74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DA216-A6F8-464D-8F29-0F288BE9FF26}">
  <sheetPr codeName="Sheet6"/>
  <dimension ref="A1:V12"/>
  <sheetViews>
    <sheetView workbookViewId="0">
      <selection activeCell="C8" sqref="C8"/>
    </sheetView>
  </sheetViews>
  <sheetFormatPr defaultRowHeight="14.5" x14ac:dyDescent="0.35"/>
  <cols>
    <col min="1" max="1" width="34" bestFit="1" customWidth="1"/>
    <col min="2" max="2" width="26.453125" bestFit="1" customWidth="1"/>
    <col min="19" max="19" width="20.7265625" customWidth="1"/>
    <col min="20" max="20" width="30.7265625" customWidth="1"/>
  </cols>
  <sheetData>
    <row r="1" spans="1:22" ht="15" thickBot="1" x14ac:dyDescent="0.4">
      <c r="V1" t="s">
        <v>29</v>
      </c>
    </row>
    <row r="2" spans="1:22" ht="17.25" customHeight="1" thickTop="1" thickBot="1" x14ac:dyDescent="0.4">
      <c r="B2" s="7" t="s">
        <v>30</v>
      </c>
      <c r="S2" s="105" t="s">
        <v>2974</v>
      </c>
      <c r="T2" s="105"/>
      <c r="U2" s="105"/>
    </row>
    <row r="3" spans="1:22" ht="15.5" thickTop="1" thickBot="1" x14ac:dyDescent="0.4">
      <c r="B3" s="7" t="s">
        <v>31</v>
      </c>
      <c r="S3" s="105"/>
      <c r="T3" s="105"/>
      <c r="U3" s="105"/>
    </row>
    <row r="4" spans="1:22" ht="48.75" customHeight="1" thickTop="1" thickBot="1" x14ac:dyDescent="0.4">
      <c r="B4" s="16" t="s">
        <v>2989</v>
      </c>
      <c r="S4" s="105"/>
      <c r="T4" s="105"/>
      <c r="U4" s="105"/>
    </row>
    <row r="5" spans="1:22" ht="33" customHeight="1" thickTop="1" thickBot="1" x14ac:dyDescent="0.4">
      <c r="B5" s="16" t="s">
        <v>2988</v>
      </c>
      <c r="S5" s="105"/>
      <c r="T5" s="105"/>
      <c r="U5" s="105"/>
    </row>
    <row r="6" spans="1:22" ht="15" thickTop="1" x14ac:dyDescent="0.35"/>
    <row r="7" spans="1:22" x14ac:dyDescent="0.35">
      <c r="S7" s="105" t="s">
        <v>2975</v>
      </c>
      <c r="T7" s="105"/>
      <c r="U7" s="105"/>
    </row>
    <row r="8" spans="1:22" x14ac:dyDescent="0.35">
      <c r="S8" s="105"/>
      <c r="T8" s="105"/>
      <c r="U8" s="105"/>
    </row>
    <row r="9" spans="1:22" x14ac:dyDescent="0.35">
      <c r="A9" t="s">
        <v>2869</v>
      </c>
      <c r="B9" t="str">
        <f>'Request for approval'!D28</f>
        <v>Deviated procedure</v>
      </c>
      <c r="C9">
        <f>IF(B9=A9,1,IF(B9=A10,1,IF(B9=A11,1,IF(B9=A12,1,0))))</f>
        <v>0</v>
      </c>
      <c r="S9" s="105"/>
      <c r="T9" s="105"/>
      <c r="U9" s="105"/>
    </row>
    <row r="10" spans="1:22" x14ac:dyDescent="0.35">
      <c r="A10" t="s">
        <v>2877</v>
      </c>
      <c r="S10" s="105"/>
      <c r="T10" s="105"/>
      <c r="U10" s="105"/>
    </row>
    <row r="11" spans="1:22" x14ac:dyDescent="0.35">
      <c r="A11" t="s">
        <v>2896</v>
      </c>
    </row>
    <row r="12" spans="1:22" x14ac:dyDescent="0.35">
      <c r="A12" t="s">
        <v>2885</v>
      </c>
    </row>
  </sheetData>
  <mergeCells count="2">
    <mergeCell ref="S2:U5"/>
    <mergeCell ref="S7:U10"/>
  </mergeCells>
  <pageMargins left="0.7" right="0.7" top="0.75" bottom="0.75" header="0.3" footer="0.3"/>
  <pageSetup paperSize="9" orientation="portrait" r:id="rId1"/>
  <headerFooter>
    <oddHeader>&amp;R&amp;"Calibri"&amp;10&amp;K000000Internal Use&amp;1#</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16316-9AAA-4E17-9743-54B6A20D644A}">
  <sheetPr codeName="Sheet5"/>
  <dimension ref="A1:B1989"/>
  <sheetViews>
    <sheetView topLeftCell="A467" zoomScaleNormal="100" workbookViewId="0">
      <selection activeCell="F490" sqref="F490"/>
    </sheetView>
  </sheetViews>
  <sheetFormatPr defaultRowHeight="14.5" x14ac:dyDescent="0.35"/>
  <cols>
    <col min="1" max="1" width="74" bestFit="1" customWidth="1"/>
    <col min="2" max="2" width="16.26953125" bestFit="1" customWidth="1"/>
  </cols>
  <sheetData>
    <row r="1" spans="1:2" x14ac:dyDescent="0.35">
      <c r="A1" t="s">
        <v>32</v>
      </c>
      <c r="B1" t="s">
        <v>33</v>
      </c>
    </row>
    <row r="2" spans="1:2" x14ac:dyDescent="0.35">
      <c r="A2" t="s">
        <v>34</v>
      </c>
      <c r="B2" t="s">
        <v>35</v>
      </c>
    </row>
    <row r="3" spans="1:2" x14ac:dyDescent="0.35">
      <c r="A3" t="s">
        <v>36</v>
      </c>
      <c r="B3" t="s">
        <v>37</v>
      </c>
    </row>
    <row r="4" spans="1:2" x14ac:dyDescent="0.35">
      <c r="A4" t="s">
        <v>38</v>
      </c>
      <c r="B4" t="s">
        <v>39</v>
      </c>
    </row>
    <row r="5" spans="1:2" x14ac:dyDescent="0.35">
      <c r="A5" t="s">
        <v>40</v>
      </c>
      <c r="B5" t="s">
        <v>41</v>
      </c>
    </row>
    <row r="6" spans="1:2" x14ac:dyDescent="0.35">
      <c r="A6" t="s">
        <v>42</v>
      </c>
      <c r="B6" t="s">
        <v>43</v>
      </c>
    </row>
    <row r="7" spans="1:2" x14ac:dyDescent="0.35">
      <c r="A7" t="s">
        <v>44</v>
      </c>
      <c r="B7" t="s">
        <v>45</v>
      </c>
    </row>
    <row r="8" spans="1:2" x14ac:dyDescent="0.35">
      <c r="A8" t="s">
        <v>46</v>
      </c>
      <c r="B8" t="s">
        <v>47</v>
      </c>
    </row>
    <row r="9" spans="1:2" x14ac:dyDescent="0.35">
      <c r="A9" t="s">
        <v>48</v>
      </c>
      <c r="B9" t="s">
        <v>49</v>
      </c>
    </row>
    <row r="10" spans="1:2" x14ac:dyDescent="0.35">
      <c r="A10" t="s">
        <v>50</v>
      </c>
      <c r="B10" t="s">
        <v>51</v>
      </c>
    </row>
    <row r="11" spans="1:2" x14ac:dyDescent="0.35">
      <c r="A11" t="s">
        <v>52</v>
      </c>
      <c r="B11" t="s">
        <v>53</v>
      </c>
    </row>
    <row r="12" spans="1:2" x14ac:dyDescent="0.35">
      <c r="A12" t="s">
        <v>54</v>
      </c>
      <c r="B12" t="s">
        <v>55</v>
      </c>
    </row>
    <row r="13" spans="1:2" x14ac:dyDescent="0.35">
      <c r="A13" t="s">
        <v>56</v>
      </c>
      <c r="B13" t="s">
        <v>57</v>
      </c>
    </row>
    <row r="14" spans="1:2" x14ac:dyDescent="0.35">
      <c r="A14" t="s">
        <v>58</v>
      </c>
      <c r="B14" t="s">
        <v>59</v>
      </c>
    </row>
    <row r="15" spans="1:2" x14ac:dyDescent="0.35">
      <c r="A15" t="s">
        <v>60</v>
      </c>
      <c r="B15" t="s">
        <v>61</v>
      </c>
    </row>
    <row r="16" spans="1:2" x14ac:dyDescent="0.35">
      <c r="A16" t="s">
        <v>62</v>
      </c>
      <c r="B16" t="s">
        <v>63</v>
      </c>
    </row>
    <row r="17" spans="1:2" x14ac:dyDescent="0.35">
      <c r="A17" t="s">
        <v>64</v>
      </c>
      <c r="B17" t="s">
        <v>65</v>
      </c>
    </row>
    <row r="18" spans="1:2" x14ac:dyDescent="0.35">
      <c r="A18" t="s">
        <v>66</v>
      </c>
      <c r="B18" t="s">
        <v>67</v>
      </c>
    </row>
    <row r="19" spans="1:2" x14ac:dyDescent="0.35">
      <c r="A19" t="s">
        <v>68</v>
      </c>
      <c r="B19" t="s">
        <v>69</v>
      </c>
    </row>
    <row r="20" spans="1:2" x14ac:dyDescent="0.35">
      <c r="A20" t="s">
        <v>70</v>
      </c>
      <c r="B20" t="s">
        <v>71</v>
      </c>
    </row>
    <row r="21" spans="1:2" x14ac:dyDescent="0.35">
      <c r="A21" t="s">
        <v>72</v>
      </c>
      <c r="B21" t="s">
        <v>73</v>
      </c>
    </row>
    <row r="22" spans="1:2" x14ac:dyDescent="0.35">
      <c r="A22" t="s">
        <v>74</v>
      </c>
      <c r="B22" t="s">
        <v>75</v>
      </c>
    </row>
    <row r="23" spans="1:2" x14ac:dyDescent="0.35">
      <c r="A23" t="s">
        <v>76</v>
      </c>
      <c r="B23" t="s">
        <v>77</v>
      </c>
    </row>
    <row r="24" spans="1:2" x14ac:dyDescent="0.35">
      <c r="A24" t="s">
        <v>78</v>
      </c>
      <c r="B24" t="s">
        <v>79</v>
      </c>
    </row>
    <row r="25" spans="1:2" x14ac:dyDescent="0.35">
      <c r="A25" t="s">
        <v>80</v>
      </c>
      <c r="B25" t="s">
        <v>81</v>
      </c>
    </row>
    <row r="26" spans="1:2" x14ac:dyDescent="0.35">
      <c r="A26" t="s">
        <v>82</v>
      </c>
      <c r="B26" t="s">
        <v>83</v>
      </c>
    </row>
    <row r="27" spans="1:2" x14ac:dyDescent="0.35">
      <c r="A27" t="s">
        <v>84</v>
      </c>
      <c r="B27" t="s">
        <v>85</v>
      </c>
    </row>
    <row r="28" spans="1:2" x14ac:dyDescent="0.35">
      <c r="A28" t="s">
        <v>86</v>
      </c>
      <c r="B28" t="s">
        <v>87</v>
      </c>
    </row>
    <row r="29" spans="1:2" x14ac:dyDescent="0.35">
      <c r="A29" t="s">
        <v>88</v>
      </c>
      <c r="B29" t="s">
        <v>89</v>
      </c>
    </row>
    <row r="30" spans="1:2" x14ac:dyDescent="0.35">
      <c r="A30" t="s">
        <v>90</v>
      </c>
      <c r="B30" t="s">
        <v>91</v>
      </c>
    </row>
    <row r="31" spans="1:2" x14ac:dyDescent="0.35">
      <c r="A31" t="s">
        <v>92</v>
      </c>
      <c r="B31" t="s">
        <v>93</v>
      </c>
    </row>
    <row r="32" spans="1:2" x14ac:dyDescent="0.35">
      <c r="A32" t="s">
        <v>94</v>
      </c>
      <c r="B32" t="s">
        <v>95</v>
      </c>
    </row>
    <row r="33" spans="1:2" x14ac:dyDescent="0.35">
      <c r="A33" t="s">
        <v>96</v>
      </c>
      <c r="B33" t="s">
        <v>97</v>
      </c>
    </row>
    <row r="34" spans="1:2" x14ac:dyDescent="0.35">
      <c r="A34" t="s">
        <v>98</v>
      </c>
      <c r="B34" t="s">
        <v>99</v>
      </c>
    </row>
    <row r="35" spans="1:2" x14ac:dyDescent="0.35">
      <c r="A35" t="s">
        <v>100</v>
      </c>
      <c r="B35" t="s">
        <v>101</v>
      </c>
    </row>
    <row r="36" spans="1:2" x14ac:dyDescent="0.35">
      <c r="A36" t="s">
        <v>102</v>
      </c>
      <c r="B36" t="s">
        <v>103</v>
      </c>
    </row>
    <row r="37" spans="1:2" x14ac:dyDescent="0.35">
      <c r="A37" t="s">
        <v>104</v>
      </c>
      <c r="B37" t="s">
        <v>105</v>
      </c>
    </row>
    <row r="38" spans="1:2" x14ac:dyDescent="0.35">
      <c r="A38" t="s">
        <v>106</v>
      </c>
      <c r="B38" t="s">
        <v>107</v>
      </c>
    </row>
    <row r="39" spans="1:2" x14ac:dyDescent="0.35">
      <c r="A39" t="s">
        <v>108</v>
      </c>
      <c r="B39" t="s">
        <v>109</v>
      </c>
    </row>
    <row r="40" spans="1:2" x14ac:dyDescent="0.35">
      <c r="A40" t="s">
        <v>110</v>
      </c>
      <c r="B40" t="s">
        <v>111</v>
      </c>
    </row>
    <row r="41" spans="1:2" x14ac:dyDescent="0.35">
      <c r="A41" t="s">
        <v>112</v>
      </c>
      <c r="B41" t="s">
        <v>113</v>
      </c>
    </row>
    <row r="42" spans="1:2" x14ac:dyDescent="0.35">
      <c r="A42" t="s">
        <v>114</v>
      </c>
      <c r="B42" t="s">
        <v>115</v>
      </c>
    </row>
    <row r="43" spans="1:2" x14ac:dyDescent="0.35">
      <c r="A43" t="s">
        <v>116</v>
      </c>
      <c r="B43" t="s">
        <v>117</v>
      </c>
    </row>
    <row r="44" spans="1:2" x14ac:dyDescent="0.35">
      <c r="A44" t="s">
        <v>118</v>
      </c>
      <c r="B44" t="s">
        <v>119</v>
      </c>
    </row>
    <row r="45" spans="1:2" x14ac:dyDescent="0.35">
      <c r="A45" t="s">
        <v>120</v>
      </c>
      <c r="B45" t="s">
        <v>121</v>
      </c>
    </row>
    <row r="46" spans="1:2" x14ac:dyDescent="0.35">
      <c r="A46" t="s">
        <v>122</v>
      </c>
      <c r="B46" t="s">
        <v>123</v>
      </c>
    </row>
    <row r="47" spans="1:2" x14ac:dyDescent="0.35">
      <c r="A47" t="s">
        <v>124</v>
      </c>
      <c r="B47" t="s">
        <v>125</v>
      </c>
    </row>
    <row r="48" spans="1:2" x14ac:dyDescent="0.35">
      <c r="A48" t="s">
        <v>126</v>
      </c>
      <c r="B48" t="s">
        <v>127</v>
      </c>
    </row>
    <row r="49" spans="1:2" x14ac:dyDescent="0.35">
      <c r="A49" t="s">
        <v>128</v>
      </c>
      <c r="B49" t="s">
        <v>129</v>
      </c>
    </row>
    <row r="50" spans="1:2" x14ac:dyDescent="0.35">
      <c r="A50" t="s">
        <v>130</v>
      </c>
      <c r="B50" t="s">
        <v>131</v>
      </c>
    </row>
    <row r="51" spans="1:2" x14ac:dyDescent="0.35">
      <c r="A51" t="s">
        <v>132</v>
      </c>
      <c r="B51" t="s">
        <v>133</v>
      </c>
    </row>
    <row r="52" spans="1:2" x14ac:dyDescent="0.35">
      <c r="A52" t="s">
        <v>134</v>
      </c>
      <c r="B52" t="s">
        <v>135</v>
      </c>
    </row>
    <row r="53" spans="1:2" x14ac:dyDescent="0.35">
      <c r="A53" t="s">
        <v>136</v>
      </c>
      <c r="B53" t="s">
        <v>137</v>
      </c>
    </row>
    <row r="54" spans="1:2" x14ac:dyDescent="0.35">
      <c r="A54" t="s">
        <v>138</v>
      </c>
      <c r="B54" t="s">
        <v>139</v>
      </c>
    </row>
    <row r="55" spans="1:2" x14ac:dyDescent="0.35">
      <c r="A55" t="s">
        <v>140</v>
      </c>
      <c r="B55" t="s">
        <v>141</v>
      </c>
    </row>
    <row r="56" spans="1:2" x14ac:dyDescent="0.35">
      <c r="A56" t="s">
        <v>142</v>
      </c>
      <c r="B56" t="s">
        <v>143</v>
      </c>
    </row>
    <row r="57" spans="1:2" x14ac:dyDescent="0.35">
      <c r="A57" t="s">
        <v>144</v>
      </c>
      <c r="B57" t="s">
        <v>145</v>
      </c>
    </row>
    <row r="58" spans="1:2" x14ac:dyDescent="0.35">
      <c r="A58" t="s">
        <v>146</v>
      </c>
      <c r="B58" t="s">
        <v>147</v>
      </c>
    </row>
    <row r="59" spans="1:2" x14ac:dyDescent="0.35">
      <c r="A59" t="s">
        <v>148</v>
      </c>
      <c r="B59" t="s">
        <v>149</v>
      </c>
    </row>
    <row r="60" spans="1:2" x14ac:dyDescent="0.35">
      <c r="A60" t="s">
        <v>150</v>
      </c>
      <c r="B60" t="s">
        <v>151</v>
      </c>
    </row>
    <row r="61" spans="1:2" x14ac:dyDescent="0.35">
      <c r="A61" t="s">
        <v>152</v>
      </c>
      <c r="B61" t="s">
        <v>153</v>
      </c>
    </row>
    <row r="62" spans="1:2" x14ac:dyDescent="0.35">
      <c r="A62" t="s">
        <v>154</v>
      </c>
      <c r="B62" t="s">
        <v>155</v>
      </c>
    </row>
    <row r="63" spans="1:2" x14ac:dyDescent="0.35">
      <c r="A63" t="s">
        <v>156</v>
      </c>
      <c r="B63" t="s">
        <v>157</v>
      </c>
    </row>
    <row r="64" spans="1:2" x14ac:dyDescent="0.35">
      <c r="A64" t="s">
        <v>158</v>
      </c>
      <c r="B64" t="s">
        <v>159</v>
      </c>
    </row>
    <row r="65" spans="1:2" x14ac:dyDescent="0.35">
      <c r="A65" t="s">
        <v>160</v>
      </c>
      <c r="B65" t="s">
        <v>161</v>
      </c>
    </row>
    <row r="66" spans="1:2" x14ac:dyDescent="0.35">
      <c r="A66" t="s">
        <v>162</v>
      </c>
      <c r="B66" t="s">
        <v>163</v>
      </c>
    </row>
    <row r="67" spans="1:2" x14ac:dyDescent="0.35">
      <c r="A67" t="s">
        <v>164</v>
      </c>
      <c r="B67" t="s">
        <v>165</v>
      </c>
    </row>
    <row r="68" spans="1:2" x14ac:dyDescent="0.35">
      <c r="A68" t="s">
        <v>166</v>
      </c>
      <c r="B68" t="s">
        <v>167</v>
      </c>
    </row>
    <row r="69" spans="1:2" x14ac:dyDescent="0.35">
      <c r="A69" t="s">
        <v>168</v>
      </c>
      <c r="B69" t="s">
        <v>169</v>
      </c>
    </row>
    <row r="70" spans="1:2" x14ac:dyDescent="0.35">
      <c r="A70" t="s">
        <v>170</v>
      </c>
      <c r="B70" t="s">
        <v>171</v>
      </c>
    </row>
    <row r="71" spans="1:2" x14ac:dyDescent="0.35">
      <c r="A71" t="s">
        <v>172</v>
      </c>
      <c r="B71" t="s">
        <v>173</v>
      </c>
    </row>
    <row r="72" spans="1:2" x14ac:dyDescent="0.35">
      <c r="A72" t="s">
        <v>174</v>
      </c>
      <c r="B72" t="s">
        <v>175</v>
      </c>
    </row>
    <row r="73" spans="1:2" x14ac:dyDescent="0.35">
      <c r="A73" t="s">
        <v>176</v>
      </c>
      <c r="B73" t="s">
        <v>177</v>
      </c>
    </row>
    <row r="74" spans="1:2" x14ac:dyDescent="0.35">
      <c r="A74" t="s">
        <v>178</v>
      </c>
      <c r="B74" t="s">
        <v>179</v>
      </c>
    </row>
    <row r="75" spans="1:2" x14ac:dyDescent="0.35">
      <c r="A75" t="s">
        <v>180</v>
      </c>
      <c r="B75" t="s">
        <v>181</v>
      </c>
    </row>
    <row r="76" spans="1:2" x14ac:dyDescent="0.35">
      <c r="A76" t="s">
        <v>182</v>
      </c>
      <c r="B76" t="s">
        <v>183</v>
      </c>
    </row>
    <row r="77" spans="1:2" x14ac:dyDescent="0.35">
      <c r="A77" t="s">
        <v>184</v>
      </c>
      <c r="B77" t="s">
        <v>185</v>
      </c>
    </row>
    <row r="78" spans="1:2" x14ac:dyDescent="0.35">
      <c r="A78" t="s">
        <v>186</v>
      </c>
      <c r="B78" t="s">
        <v>187</v>
      </c>
    </row>
    <row r="79" spans="1:2" x14ac:dyDescent="0.35">
      <c r="A79" t="s">
        <v>188</v>
      </c>
      <c r="B79" t="s">
        <v>189</v>
      </c>
    </row>
    <row r="80" spans="1:2" x14ac:dyDescent="0.35">
      <c r="A80" t="s">
        <v>190</v>
      </c>
      <c r="B80" t="s">
        <v>191</v>
      </c>
    </row>
    <row r="81" spans="1:2" x14ac:dyDescent="0.35">
      <c r="A81" t="s">
        <v>192</v>
      </c>
      <c r="B81" t="s">
        <v>193</v>
      </c>
    </row>
    <row r="82" spans="1:2" x14ac:dyDescent="0.35">
      <c r="A82" t="s">
        <v>194</v>
      </c>
      <c r="B82" t="s">
        <v>195</v>
      </c>
    </row>
    <row r="83" spans="1:2" x14ac:dyDescent="0.35">
      <c r="A83" t="s">
        <v>196</v>
      </c>
      <c r="B83" t="s">
        <v>197</v>
      </c>
    </row>
    <row r="84" spans="1:2" x14ac:dyDescent="0.35">
      <c r="A84" t="s">
        <v>198</v>
      </c>
      <c r="B84" t="s">
        <v>199</v>
      </c>
    </row>
    <row r="85" spans="1:2" x14ac:dyDescent="0.35">
      <c r="A85" t="s">
        <v>200</v>
      </c>
      <c r="B85" t="s">
        <v>201</v>
      </c>
    </row>
    <row r="86" spans="1:2" x14ac:dyDescent="0.35">
      <c r="A86" t="s">
        <v>202</v>
      </c>
      <c r="B86" t="s">
        <v>203</v>
      </c>
    </row>
    <row r="87" spans="1:2" x14ac:dyDescent="0.35">
      <c r="A87" t="s">
        <v>204</v>
      </c>
      <c r="B87" t="s">
        <v>205</v>
      </c>
    </row>
    <row r="88" spans="1:2" x14ac:dyDescent="0.35">
      <c r="A88" t="s">
        <v>206</v>
      </c>
      <c r="B88" t="s">
        <v>207</v>
      </c>
    </row>
    <row r="89" spans="1:2" x14ac:dyDescent="0.35">
      <c r="A89" t="s">
        <v>208</v>
      </c>
      <c r="B89" t="s">
        <v>209</v>
      </c>
    </row>
    <row r="90" spans="1:2" x14ac:dyDescent="0.35">
      <c r="A90" t="s">
        <v>210</v>
      </c>
      <c r="B90" t="s">
        <v>211</v>
      </c>
    </row>
    <row r="91" spans="1:2" x14ac:dyDescent="0.35">
      <c r="A91" t="s">
        <v>212</v>
      </c>
      <c r="B91" t="s">
        <v>213</v>
      </c>
    </row>
    <row r="92" spans="1:2" x14ac:dyDescent="0.35">
      <c r="A92" t="s">
        <v>214</v>
      </c>
      <c r="B92" t="s">
        <v>215</v>
      </c>
    </row>
    <row r="93" spans="1:2" x14ac:dyDescent="0.35">
      <c r="A93" t="s">
        <v>216</v>
      </c>
      <c r="B93" t="s">
        <v>217</v>
      </c>
    </row>
    <row r="94" spans="1:2" x14ac:dyDescent="0.35">
      <c r="A94" t="s">
        <v>218</v>
      </c>
      <c r="B94" t="s">
        <v>219</v>
      </c>
    </row>
    <row r="95" spans="1:2" x14ac:dyDescent="0.35">
      <c r="A95" t="s">
        <v>220</v>
      </c>
      <c r="B95" t="s">
        <v>221</v>
      </c>
    </row>
    <row r="96" spans="1:2" x14ac:dyDescent="0.35">
      <c r="A96" t="s">
        <v>222</v>
      </c>
      <c r="B96" t="s">
        <v>223</v>
      </c>
    </row>
    <row r="97" spans="1:2" x14ac:dyDescent="0.35">
      <c r="A97" t="s">
        <v>224</v>
      </c>
      <c r="B97" t="s">
        <v>225</v>
      </c>
    </row>
    <row r="98" spans="1:2" x14ac:dyDescent="0.35">
      <c r="A98" t="s">
        <v>226</v>
      </c>
      <c r="B98" t="s">
        <v>227</v>
      </c>
    </row>
    <row r="99" spans="1:2" x14ac:dyDescent="0.35">
      <c r="A99" t="s">
        <v>228</v>
      </c>
      <c r="B99" t="s">
        <v>229</v>
      </c>
    </row>
    <row r="100" spans="1:2" x14ac:dyDescent="0.35">
      <c r="A100" t="s">
        <v>230</v>
      </c>
      <c r="B100" t="s">
        <v>231</v>
      </c>
    </row>
    <row r="101" spans="1:2" x14ac:dyDescent="0.35">
      <c r="A101" t="s">
        <v>232</v>
      </c>
      <c r="B101" t="s">
        <v>233</v>
      </c>
    </row>
    <row r="102" spans="1:2" x14ac:dyDescent="0.35">
      <c r="A102" t="s">
        <v>234</v>
      </c>
      <c r="B102" t="s">
        <v>235</v>
      </c>
    </row>
    <row r="103" spans="1:2" x14ac:dyDescent="0.35">
      <c r="A103" t="s">
        <v>236</v>
      </c>
      <c r="B103" t="s">
        <v>237</v>
      </c>
    </row>
    <row r="104" spans="1:2" x14ac:dyDescent="0.35">
      <c r="A104" t="s">
        <v>238</v>
      </c>
      <c r="B104" t="s">
        <v>239</v>
      </c>
    </row>
    <row r="105" spans="1:2" x14ac:dyDescent="0.35">
      <c r="A105" t="s">
        <v>240</v>
      </c>
      <c r="B105" t="s">
        <v>241</v>
      </c>
    </row>
    <row r="106" spans="1:2" x14ac:dyDescent="0.35">
      <c r="A106" t="s">
        <v>242</v>
      </c>
      <c r="B106" t="s">
        <v>243</v>
      </c>
    </row>
    <row r="107" spans="1:2" x14ac:dyDescent="0.35">
      <c r="A107" t="s">
        <v>244</v>
      </c>
      <c r="B107" t="s">
        <v>245</v>
      </c>
    </row>
    <row r="108" spans="1:2" x14ac:dyDescent="0.35">
      <c r="A108" t="s">
        <v>246</v>
      </c>
      <c r="B108" t="s">
        <v>247</v>
      </c>
    </row>
    <row r="109" spans="1:2" x14ac:dyDescent="0.35">
      <c r="A109" t="s">
        <v>248</v>
      </c>
      <c r="B109" t="s">
        <v>249</v>
      </c>
    </row>
    <row r="110" spans="1:2" x14ac:dyDescent="0.35">
      <c r="A110" t="s">
        <v>250</v>
      </c>
      <c r="B110" t="s">
        <v>251</v>
      </c>
    </row>
    <row r="111" spans="1:2" x14ac:dyDescent="0.35">
      <c r="A111" t="s">
        <v>252</v>
      </c>
      <c r="B111" t="s">
        <v>253</v>
      </c>
    </row>
    <row r="112" spans="1:2" x14ac:dyDescent="0.35">
      <c r="A112" t="s">
        <v>254</v>
      </c>
      <c r="B112" t="s">
        <v>255</v>
      </c>
    </row>
    <row r="113" spans="1:2" x14ac:dyDescent="0.35">
      <c r="A113" t="s">
        <v>256</v>
      </c>
      <c r="B113" t="s">
        <v>257</v>
      </c>
    </row>
    <row r="114" spans="1:2" x14ac:dyDescent="0.35">
      <c r="A114" t="s">
        <v>258</v>
      </c>
      <c r="B114" t="s">
        <v>259</v>
      </c>
    </row>
    <row r="115" spans="1:2" x14ac:dyDescent="0.35">
      <c r="A115" t="s">
        <v>260</v>
      </c>
      <c r="B115" t="s">
        <v>261</v>
      </c>
    </row>
    <row r="116" spans="1:2" x14ac:dyDescent="0.35">
      <c r="A116" t="s">
        <v>262</v>
      </c>
      <c r="B116" t="s">
        <v>263</v>
      </c>
    </row>
    <row r="117" spans="1:2" x14ac:dyDescent="0.35">
      <c r="A117" t="s">
        <v>264</v>
      </c>
      <c r="B117" t="s">
        <v>265</v>
      </c>
    </row>
    <row r="118" spans="1:2" x14ac:dyDescent="0.35">
      <c r="A118" t="s">
        <v>266</v>
      </c>
      <c r="B118" t="s">
        <v>267</v>
      </c>
    </row>
    <row r="119" spans="1:2" x14ac:dyDescent="0.35">
      <c r="A119" t="s">
        <v>268</v>
      </c>
      <c r="B119" t="s">
        <v>269</v>
      </c>
    </row>
    <row r="120" spans="1:2" x14ac:dyDescent="0.35">
      <c r="A120" t="s">
        <v>270</v>
      </c>
      <c r="B120" t="s">
        <v>271</v>
      </c>
    </row>
    <row r="121" spans="1:2" x14ac:dyDescent="0.35">
      <c r="A121" t="s">
        <v>272</v>
      </c>
      <c r="B121" t="s">
        <v>273</v>
      </c>
    </row>
    <row r="122" spans="1:2" x14ac:dyDescent="0.35">
      <c r="A122" t="s">
        <v>274</v>
      </c>
      <c r="B122" t="s">
        <v>275</v>
      </c>
    </row>
    <row r="123" spans="1:2" x14ac:dyDescent="0.35">
      <c r="A123" t="s">
        <v>276</v>
      </c>
      <c r="B123" t="s">
        <v>277</v>
      </c>
    </row>
    <row r="124" spans="1:2" x14ac:dyDescent="0.35">
      <c r="A124" t="s">
        <v>278</v>
      </c>
      <c r="B124" t="s">
        <v>279</v>
      </c>
    </row>
    <row r="125" spans="1:2" x14ac:dyDescent="0.35">
      <c r="A125" t="s">
        <v>280</v>
      </c>
      <c r="B125" t="s">
        <v>281</v>
      </c>
    </row>
    <row r="126" spans="1:2" x14ac:dyDescent="0.35">
      <c r="A126" t="s">
        <v>282</v>
      </c>
      <c r="B126" t="s">
        <v>283</v>
      </c>
    </row>
    <row r="127" spans="1:2" x14ac:dyDescent="0.35">
      <c r="A127" t="s">
        <v>284</v>
      </c>
      <c r="B127" t="s">
        <v>285</v>
      </c>
    </row>
    <row r="128" spans="1:2" x14ac:dyDescent="0.35">
      <c r="A128" t="s">
        <v>286</v>
      </c>
      <c r="B128" t="s">
        <v>287</v>
      </c>
    </row>
    <row r="129" spans="1:2" x14ac:dyDescent="0.35">
      <c r="A129" t="s">
        <v>288</v>
      </c>
      <c r="B129" t="s">
        <v>289</v>
      </c>
    </row>
    <row r="130" spans="1:2" x14ac:dyDescent="0.35">
      <c r="A130" t="s">
        <v>290</v>
      </c>
      <c r="B130" t="s">
        <v>291</v>
      </c>
    </row>
    <row r="131" spans="1:2" x14ac:dyDescent="0.35">
      <c r="A131" t="s">
        <v>292</v>
      </c>
      <c r="B131" t="s">
        <v>293</v>
      </c>
    </row>
    <row r="132" spans="1:2" x14ac:dyDescent="0.35">
      <c r="A132" t="s">
        <v>294</v>
      </c>
      <c r="B132" t="s">
        <v>295</v>
      </c>
    </row>
    <row r="133" spans="1:2" x14ac:dyDescent="0.35">
      <c r="A133" t="s">
        <v>296</v>
      </c>
      <c r="B133" t="s">
        <v>297</v>
      </c>
    </row>
    <row r="134" spans="1:2" x14ac:dyDescent="0.35">
      <c r="A134" t="s">
        <v>298</v>
      </c>
      <c r="B134" t="s">
        <v>299</v>
      </c>
    </row>
    <row r="135" spans="1:2" x14ac:dyDescent="0.35">
      <c r="A135" t="s">
        <v>300</v>
      </c>
      <c r="B135" t="s">
        <v>301</v>
      </c>
    </row>
    <row r="136" spans="1:2" x14ac:dyDescent="0.35">
      <c r="A136" t="s">
        <v>302</v>
      </c>
      <c r="B136" t="s">
        <v>303</v>
      </c>
    </row>
    <row r="137" spans="1:2" x14ac:dyDescent="0.35">
      <c r="A137" t="s">
        <v>304</v>
      </c>
      <c r="B137" t="s">
        <v>305</v>
      </c>
    </row>
    <row r="138" spans="1:2" x14ac:dyDescent="0.35">
      <c r="A138" t="s">
        <v>306</v>
      </c>
      <c r="B138" t="s">
        <v>307</v>
      </c>
    </row>
    <row r="139" spans="1:2" x14ac:dyDescent="0.35">
      <c r="A139" t="s">
        <v>308</v>
      </c>
      <c r="B139" t="s">
        <v>309</v>
      </c>
    </row>
    <row r="140" spans="1:2" x14ac:dyDescent="0.35">
      <c r="A140" t="s">
        <v>310</v>
      </c>
      <c r="B140" t="s">
        <v>311</v>
      </c>
    </row>
    <row r="141" spans="1:2" x14ac:dyDescent="0.35">
      <c r="A141" t="s">
        <v>312</v>
      </c>
      <c r="B141" t="s">
        <v>313</v>
      </c>
    </row>
    <row r="142" spans="1:2" x14ac:dyDescent="0.35">
      <c r="A142" t="s">
        <v>314</v>
      </c>
      <c r="B142" t="s">
        <v>315</v>
      </c>
    </row>
    <row r="143" spans="1:2" x14ac:dyDescent="0.35">
      <c r="A143" t="s">
        <v>316</v>
      </c>
      <c r="B143" t="s">
        <v>317</v>
      </c>
    </row>
    <row r="144" spans="1:2" x14ac:dyDescent="0.35">
      <c r="A144" t="s">
        <v>318</v>
      </c>
      <c r="B144" t="s">
        <v>319</v>
      </c>
    </row>
    <row r="145" spans="1:2" x14ac:dyDescent="0.35">
      <c r="A145" t="s">
        <v>320</v>
      </c>
      <c r="B145" t="s">
        <v>321</v>
      </c>
    </row>
    <row r="146" spans="1:2" x14ac:dyDescent="0.35">
      <c r="A146" t="s">
        <v>322</v>
      </c>
      <c r="B146" t="s">
        <v>323</v>
      </c>
    </row>
    <row r="147" spans="1:2" x14ac:dyDescent="0.35">
      <c r="A147" t="s">
        <v>324</v>
      </c>
      <c r="B147" t="s">
        <v>325</v>
      </c>
    </row>
    <row r="148" spans="1:2" x14ac:dyDescent="0.35">
      <c r="A148" t="s">
        <v>326</v>
      </c>
      <c r="B148" t="s">
        <v>327</v>
      </c>
    </row>
    <row r="149" spans="1:2" x14ac:dyDescent="0.35">
      <c r="A149" t="s">
        <v>328</v>
      </c>
      <c r="B149" t="s">
        <v>329</v>
      </c>
    </row>
    <row r="150" spans="1:2" x14ac:dyDescent="0.35">
      <c r="A150" t="s">
        <v>330</v>
      </c>
      <c r="B150" t="s">
        <v>331</v>
      </c>
    </row>
    <row r="151" spans="1:2" x14ac:dyDescent="0.35">
      <c r="A151" t="s">
        <v>332</v>
      </c>
      <c r="B151" t="s">
        <v>333</v>
      </c>
    </row>
    <row r="152" spans="1:2" x14ac:dyDescent="0.35">
      <c r="A152" t="s">
        <v>334</v>
      </c>
      <c r="B152" t="s">
        <v>335</v>
      </c>
    </row>
    <row r="153" spans="1:2" x14ac:dyDescent="0.35">
      <c r="A153" t="s">
        <v>336</v>
      </c>
      <c r="B153" t="s">
        <v>337</v>
      </c>
    </row>
    <row r="154" spans="1:2" x14ac:dyDescent="0.35">
      <c r="A154" t="s">
        <v>338</v>
      </c>
      <c r="B154" t="s">
        <v>339</v>
      </c>
    </row>
    <row r="155" spans="1:2" x14ac:dyDescent="0.35">
      <c r="A155" t="s">
        <v>340</v>
      </c>
      <c r="B155" t="s">
        <v>341</v>
      </c>
    </row>
    <row r="156" spans="1:2" x14ac:dyDescent="0.35">
      <c r="A156" t="s">
        <v>342</v>
      </c>
      <c r="B156" t="s">
        <v>343</v>
      </c>
    </row>
    <row r="157" spans="1:2" x14ac:dyDescent="0.35">
      <c r="A157" t="s">
        <v>344</v>
      </c>
      <c r="B157" t="s">
        <v>345</v>
      </c>
    </row>
    <row r="158" spans="1:2" x14ac:dyDescent="0.35">
      <c r="A158" t="s">
        <v>346</v>
      </c>
      <c r="B158" t="s">
        <v>347</v>
      </c>
    </row>
    <row r="159" spans="1:2" x14ac:dyDescent="0.35">
      <c r="A159" t="s">
        <v>348</v>
      </c>
      <c r="B159" t="s">
        <v>349</v>
      </c>
    </row>
    <row r="160" spans="1:2" x14ac:dyDescent="0.35">
      <c r="A160" t="s">
        <v>350</v>
      </c>
      <c r="B160" t="s">
        <v>351</v>
      </c>
    </row>
    <row r="161" spans="1:2" x14ac:dyDescent="0.35">
      <c r="A161" t="s">
        <v>352</v>
      </c>
      <c r="B161" t="s">
        <v>353</v>
      </c>
    </row>
    <row r="162" spans="1:2" x14ac:dyDescent="0.35">
      <c r="A162" t="s">
        <v>354</v>
      </c>
      <c r="B162" t="s">
        <v>355</v>
      </c>
    </row>
    <row r="163" spans="1:2" x14ac:dyDescent="0.35">
      <c r="A163" t="s">
        <v>356</v>
      </c>
      <c r="B163" t="s">
        <v>357</v>
      </c>
    </row>
    <row r="164" spans="1:2" x14ac:dyDescent="0.35">
      <c r="A164" t="s">
        <v>358</v>
      </c>
      <c r="B164" t="s">
        <v>359</v>
      </c>
    </row>
    <row r="165" spans="1:2" x14ac:dyDescent="0.35">
      <c r="A165" t="s">
        <v>360</v>
      </c>
      <c r="B165" t="s">
        <v>361</v>
      </c>
    </row>
    <row r="166" spans="1:2" x14ac:dyDescent="0.35">
      <c r="A166" t="s">
        <v>362</v>
      </c>
      <c r="B166" t="s">
        <v>363</v>
      </c>
    </row>
    <row r="167" spans="1:2" x14ac:dyDescent="0.35">
      <c r="A167" t="s">
        <v>364</v>
      </c>
      <c r="B167" t="s">
        <v>365</v>
      </c>
    </row>
    <row r="168" spans="1:2" x14ac:dyDescent="0.35">
      <c r="A168" t="s">
        <v>366</v>
      </c>
      <c r="B168" t="s">
        <v>367</v>
      </c>
    </row>
    <row r="169" spans="1:2" x14ac:dyDescent="0.35">
      <c r="A169" t="s">
        <v>368</v>
      </c>
      <c r="B169" t="s">
        <v>369</v>
      </c>
    </row>
    <row r="170" spans="1:2" x14ac:dyDescent="0.35">
      <c r="A170" t="s">
        <v>370</v>
      </c>
      <c r="B170" t="s">
        <v>371</v>
      </c>
    </row>
    <row r="171" spans="1:2" x14ac:dyDescent="0.35">
      <c r="A171" t="s">
        <v>372</v>
      </c>
      <c r="B171" t="s">
        <v>373</v>
      </c>
    </row>
    <row r="172" spans="1:2" x14ac:dyDescent="0.35">
      <c r="A172" t="s">
        <v>374</v>
      </c>
      <c r="B172" t="s">
        <v>375</v>
      </c>
    </row>
    <row r="173" spans="1:2" x14ac:dyDescent="0.35">
      <c r="A173" t="s">
        <v>376</v>
      </c>
      <c r="B173" t="s">
        <v>377</v>
      </c>
    </row>
    <row r="174" spans="1:2" x14ac:dyDescent="0.35">
      <c r="A174" t="s">
        <v>378</v>
      </c>
      <c r="B174" t="s">
        <v>379</v>
      </c>
    </row>
    <row r="175" spans="1:2" x14ac:dyDescent="0.35">
      <c r="A175" t="s">
        <v>380</v>
      </c>
      <c r="B175" t="s">
        <v>381</v>
      </c>
    </row>
    <row r="176" spans="1:2" x14ac:dyDescent="0.35">
      <c r="A176" t="s">
        <v>382</v>
      </c>
      <c r="B176" t="s">
        <v>383</v>
      </c>
    </row>
    <row r="177" spans="1:2" x14ac:dyDescent="0.35">
      <c r="A177" t="s">
        <v>384</v>
      </c>
      <c r="B177" t="s">
        <v>385</v>
      </c>
    </row>
    <row r="178" spans="1:2" x14ac:dyDescent="0.35">
      <c r="A178" t="s">
        <v>386</v>
      </c>
      <c r="B178" t="s">
        <v>387</v>
      </c>
    </row>
    <row r="179" spans="1:2" x14ac:dyDescent="0.35">
      <c r="A179" t="s">
        <v>388</v>
      </c>
      <c r="B179" t="s">
        <v>389</v>
      </c>
    </row>
    <row r="180" spans="1:2" x14ac:dyDescent="0.35">
      <c r="A180" t="s">
        <v>390</v>
      </c>
      <c r="B180" t="s">
        <v>391</v>
      </c>
    </row>
    <row r="181" spans="1:2" x14ac:dyDescent="0.35">
      <c r="A181" t="s">
        <v>392</v>
      </c>
      <c r="B181" t="s">
        <v>393</v>
      </c>
    </row>
    <row r="182" spans="1:2" x14ac:dyDescent="0.35">
      <c r="A182" t="s">
        <v>394</v>
      </c>
      <c r="B182" t="s">
        <v>395</v>
      </c>
    </row>
    <row r="183" spans="1:2" x14ac:dyDescent="0.35">
      <c r="A183" t="s">
        <v>396</v>
      </c>
      <c r="B183" t="s">
        <v>397</v>
      </c>
    </row>
    <row r="184" spans="1:2" x14ac:dyDescent="0.35">
      <c r="A184" t="s">
        <v>398</v>
      </c>
      <c r="B184" t="s">
        <v>399</v>
      </c>
    </row>
    <row r="185" spans="1:2" x14ac:dyDescent="0.35">
      <c r="A185" t="s">
        <v>400</v>
      </c>
      <c r="B185" t="s">
        <v>401</v>
      </c>
    </row>
    <row r="186" spans="1:2" x14ac:dyDescent="0.35">
      <c r="A186" t="s">
        <v>402</v>
      </c>
      <c r="B186" t="s">
        <v>403</v>
      </c>
    </row>
    <row r="187" spans="1:2" x14ac:dyDescent="0.35">
      <c r="A187" t="s">
        <v>404</v>
      </c>
      <c r="B187" t="s">
        <v>405</v>
      </c>
    </row>
    <row r="188" spans="1:2" x14ac:dyDescent="0.35">
      <c r="A188" t="s">
        <v>406</v>
      </c>
      <c r="B188" t="s">
        <v>407</v>
      </c>
    </row>
    <row r="189" spans="1:2" x14ac:dyDescent="0.35">
      <c r="A189" t="s">
        <v>408</v>
      </c>
      <c r="B189" t="s">
        <v>409</v>
      </c>
    </row>
    <row r="190" spans="1:2" x14ac:dyDescent="0.35">
      <c r="A190" t="s">
        <v>410</v>
      </c>
      <c r="B190" t="s">
        <v>411</v>
      </c>
    </row>
    <row r="191" spans="1:2" x14ac:dyDescent="0.35">
      <c r="A191" t="s">
        <v>412</v>
      </c>
      <c r="B191" t="s">
        <v>413</v>
      </c>
    </row>
    <row r="192" spans="1:2" x14ac:dyDescent="0.35">
      <c r="A192" t="s">
        <v>414</v>
      </c>
      <c r="B192" t="s">
        <v>415</v>
      </c>
    </row>
    <row r="193" spans="1:2" x14ac:dyDescent="0.35">
      <c r="A193" t="s">
        <v>416</v>
      </c>
      <c r="B193" t="s">
        <v>417</v>
      </c>
    </row>
    <row r="194" spans="1:2" x14ac:dyDescent="0.35">
      <c r="A194" t="s">
        <v>418</v>
      </c>
      <c r="B194" t="s">
        <v>419</v>
      </c>
    </row>
    <row r="195" spans="1:2" x14ac:dyDescent="0.35">
      <c r="A195" t="s">
        <v>420</v>
      </c>
      <c r="B195" t="s">
        <v>421</v>
      </c>
    </row>
    <row r="196" spans="1:2" x14ac:dyDescent="0.35">
      <c r="A196" t="s">
        <v>422</v>
      </c>
      <c r="B196" t="s">
        <v>423</v>
      </c>
    </row>
    <row r="197" spans="1:2" x14ac:dyDescent="0.35">
      <c r="A197" t="s">
        <v>424</v>
      </c>
      <c r="B197" t="s">
        <v>425</v>
      </c>
    </row>
    <row r="198" spans="1:2" x14ac:dyDescent="0.35">
      <c r="A198" t="s">
        <v>426</v>
      </c>
      <c r="B198" t="s">
        <v>427</v>
      </c>
    </row>
    <row r="199" spans="1:2" x14ac:dyDescent="0.35">
      <c r="A199" t="s">
        <v>428</v>
      </c>
      <c r="B199" t="s">
        <v>429</v>
      </c>
    </row>
    <row r="200" spans="1:2" x14ac:dyDescent="0.35">
      <c r="A200" t="s">
        <v>430</v>
      </c>
      <c r="B200" t="s">
        <v>431</v>
      </c>
    </row>
    <row r="201" spans="1:2" x14ac:dyDescent="0.35">
      <c r="A201" t="s">
        <v>432</v>
      </c>
      <c r="B201" t="s">
        <v>433</v>
      </c>
    </row>
    <row r="202" spans="1:2" x14ac:dyDescent="0.35">
      <c r="A202" t="s">
        <v>434</v>
      </c>
      <c r="B202" t="s">
        <v>435</v>
      </c>
    </row>
    <row r="203" spans="1:2" x14ac:dyDescent="0.35">
      <c r="A203" t="s">
        <v>436</v>
      </c>
      <c r="B203" t="s">
        <v>437</v>
      </c>
    </row>
    <row r="204" spans="1:2" x14ac:dyDescent="0.35">
      <c r="A204" t="s">
        <v>438</v>
      </c>
      <c r="B204" t="s">
        <v>439</v>
      </c>
    </row>
    <row r="205" spans="1:2" x14ac:dyDescent="0.35">
      <c r="A205" t="s">
        <v>440</v>
      </c>
      <c r="B205" t="s">
        <v>441</v>
      </c>
    </row>
    <row r="206" spans="1:2" x14ac:dyDescent="0.35">
      <c r="A206" t="s">
        <v>442</v>
      </c>
      <c r="B206" t="s">
        <v>443</v>
      </c>
    </row>
    <row r="207" spans="1:2" x14ac:dyDescent="0.35">
      <c r="A207" t="s">
        <v>444</v>
      </c>
      <c r="B207" t="s">
        <v>445</v>
      </c>
    </row>
    <row r="208" spans="1:2" x14ac:dyDescent="0.35">
      <c r="A208" t="s">
        <v>446</v>
      </c>
      <c r="B208" t="s">
        <v>447</v>
      </c>
    </row>
    <row r="209" spans="1:2" x14ac:dyDescent="0.35">
      <c r="A209" t="s">
        <v>448</v>
      </c>
      <c r="B209" t="s">
        <v>449</v>
      </c>
    </row>
    <row r="210" spans="1:2" x14ac:dyDescent="0.35">
      <c r="A210" t="s">
        <v>450</v>
      </c>
      <c r="B210" t="s">
        <v>451</v>
      </c>
    </row>
    <row r="211" spans="1:2" x14ac:dyDescent="0.35">
      <c r="A211" t="s">
        <v>452</v>
      </c>
      <c r="B211" t="s">
        <v>453</v>
      </c>
    </row>
    <row r="212" spans="1:2" x14ac:dyDescent="0.35">
      <c r="A212" t="s">
        <v>454</v>
      </c>
      <c r="B212" t="s">
        <v>455</v>
      </c>
    </row>
    <row r="213" spans="1:2" x14ac:dyDescent="0.35">
      <c r="A213" t="s">
        <v>456</v>
      </c>
      <c r="B213" t="s">
        <v>457</v>
      </c>
    </row>
    <row r="214" spans="1:2" x14ac:dyDescent="0.35">
      <c r="A214" t="s">
        <v>458</v>
      </c>
      <c r="B214" t="s">
        <v>459</v>
      </c>
    </row>
    <row r="215" spans="1:2" x14ac:dyDescent="0.35">
      <c r="A215" t="s">
        <v>460</v>
      </c>
      <c r="B215" t="s">
        <v>461</v>
      </c>
    </row>
    <row r="216" spans="1:2" x14ac:dyDescent="0.35">
      <c r="A216" t="s">
        <v>462</v>
      </c>
      <c r="B216" t="s">
        <v>463</v>
      </c>
    </row>
    <row r="217" spans="1:2" x14ac:dyDescent="0.35">
      <c r="A217" t="s">
        <v>464</v>
      </c>
      <c r="B217" t="s">
        <v>465</v>
      </c>
    </row>
    <row r="218" spans="1:2" x14ac:dyDescent="0.35">
      <c r="A218" t="s">
        <v>466</v>
      </c>
      <c r="B218" t="s">
        <v>467</v>
      </c>
    </row>
    <row r="219" spans="1:2" x14ac:dyDescent="0.35">
      <c r="A219" t="s">
        <v>468</v>
      </c>
      <c r="B219" t="s">
        <v>469</v>
      </c>
    </row>
    <row r="220" spans="1:2" x14ac:dyDescent="0.35">
      <c r="A220" t="s">
        <v>470</v>
      </c>
      <c r="B220" t="s">
        <v>471</v>
      </c>
    </row>
    <row r="221" spans="1:2" x14ac:dyDescent="0.35">
      <c r="A221" t="s">
        <v>472</v>
      </c>
      <c r="B221" t="s">
        <v>473</v>
      </c>
    </row>
    <row r="222" spans="1:2" x14ac:dyDescent="0.35">
      <c r="A222" t="s">
        <v>474</v>
      </c>
      <c r="B222" t="s">
        <v>475</v>
      </c>
    </row>
    <row r="223" spans="1:2" x14ac:dyDescent="0.35">
      <c r="A223" t="s">
        <v>476</v>
      </c>
      <c r="B223" t="s">
        <v>477</v>
      </c>
    </row>
    <row r="224" spans="1:2" x14ac:dyDescent="0.35">
      <c r="A224" t="s">
        <v>478</v>
      </c>
      <c r="B224" t="s">
        <v>479</v>
      </c>
    </row>
    <row r="225" spans="1:2" x14ac:dyDescent="0.35">
      <c r="A225" t="s">
        <v>480</v>
      </c>
      <c r="B225" t="s">
        <v>481</v>
      </c>
    </row>
    <row r="226" spans="1:2" x14ac:dyDescent="0.35">
      <c r="A226" t="s">
        <v>482</v>
      </c>
      <c r="B226" t="s">
        <v>483</v>
      </c>
    </row>
    <row r="227" spans="1:2" x14ac:dyDescent="0.35">
      <c r="A227" t="s">
        <v>484</v>
      </c>
      <c r="B227" t="s">
        <v>485</v>
      </c>
    </row>
    <row r="228" spans="1:2" x14ac:dyDescent="0.35">
      <c r="A228" t="s">
        <v>486</v>
      </c>
      <c r="B228" t="s">
        <v>487</v>
      </c>
    </row>
    <row r="229" spans="1:2" x14ac:dyDescent="0.35">
      <c r="A229" t="s">
        <v>488</v>
      </c>
      <c r="B229" t="s">
        <v>489</v>
      </c>
    </row>
    <row r="230" spans="1:2" x14ac:dyDescent="0.35">
      <c r="A230" t="s">
        <v>490</v>
      </c>
      <c r="B230" t="s">
        <v>491</v>
      </c>
    </row>
    <row r="231" spans="1:2" x14ac:dyDescent="0.35">
      <c r="A231" t="s">
        <v>492</v>
      </c>
      <c r="B231" t="s">
        <v>493</v>
      </c>
    </row>
    <row r="232" spans="1:2" x14ac:dyDescent="0.35">
      <c r="A232" t="s">
        <v>494</v>
      </c>
      <c r="B232" t="s">
        <v>495</v>
      </c>
    </row>
    <row r="233" spans="1:2" x14ac:dyDescent="0.35">
      <c r="A233" t="s">
        <v>496</v>
      </c>
      <c r="B233" t="s">
        <v>497</v>
      </c>
    </row>
    <row r="234" spans="1:2" x14ac:dyDescent="0.35">
      <c r="A234" t="s">
        <v>498</v>
      </c>
      <c r="B234" t="s">
        <v>499</v>
      </c>
    </row>
    <row r="235" spans="1:2" x14ac:dyDescent="0.35">
      <c r="A235" t="s">
        <v>500</v>
      </c>
      <c r="B235" t="s">
        <v>501</v>
      </c>
    </row>
    <row r="236" spans="1:2" x14ac:dyDescent="0.35">
      <c r="A236" t="s">
        <v>502</v>
      </c>
      <c r="B236" t="s">
        <v>503</v>
      </c>
    </row>
    <row r="237" spans="1:2" x14ac:dyDescent="0.35">
      <c r="A237" t="s">
        <v>504</v>
      </c>
      <c r="B237" t="s">
        <v>505</v>
      </c>
    </row>
    <row r="238" spans="1:2" x14ac:dyDescent="0.35">
      <c r="A238" t="s">
        <v>506</v>
      </c>
      <c r="B238" t="s">
        <v>507</v>
      </c>
    </row>
    <row r="239" spans="1:2" x14ac:dyDescent="0.35">
      <c r="A239" t="s">
        <v>508</v>
      </c>
      <c r="B239" t="s">
        <v>509</v>
      </c>
    </row>
    <row r="240" spans="1:2" x14ac:dyDescent="0.35">
      <c r="A240" t="s">
        <v>510</v>
      </c>
      <c r="B240" t="s">
        <v>511</v>
      </c>
    </row>
    <row r="241" spans="1:2" x14ac:dyDescent="0.35">
      <c r="A241" t="s">
        <v>512</v>
      </c>
      <c r="B241" t="s">
        <v>513</v>
      </c>
    </row>
    <row r="242" spans="1:2" x14ac:dyDescent="0.35">
      <c r="A242" t="s">
        <v>514</v>
      </c>
      <c r="B242" t="s">
        <v>515</v>
      </c>
    </row>
    <row r="243" spans="1:2" x14ac:dyDescent="0.35">
      <c r="A243" t="s">
        <v>516</v>
      </c>
      <c r="B243" t="s">
        <v>517</v>
      </c>
    </row>
    <row r="244" spans="1:2" x14ac:dyDescent="0.35">
      <c r="A244" t="s">
        <v>518</v>
      </c>
      <c r="B244" t="s">
        <v>519</v>
      </c>
    </row>
    <row r="245" spans="1:2" x14ac:dyDescent="0.35">
      <c r="A245" t="s">
        <v>520</v>
      </c>
      <c r="B245" t="s">
        <v>521</v>
      </c>
    </row>
    <row r="246" spans="1:2" x14ac:dyDescent="0.35">
      <c r="A246" t="s">
        <v>522</v>
      </c>
      <c r="B246" t="s">
        <v>523</v>
      </c>
    </row>
    <row r="247" spans="1:2" x14ac:dyDescent="0.35">
      <c r="A247" t="s">
        <v>524</v>
      </c>
      <c r="B247" t="s">
        <v>525</v>
      </c>
    </row>
    <row r="248" spans="1:2" x14ac:dyDescent="0.35">
      <c r="A248" t="s">
        <v>526</v>
      </c>
      <c r="B248" t="s">
        <v>527</v>
      </c>
    </row>
    <row r="249" spans="1:2" x14ac:dyDescent="0.35">
      <c r="A249" t="s">
        <v>528</v>
      </c>
      <c r="B249" t="s">
        <v>529</v>
      </c>
    </row>
    <row r="250" spans="1:2" x14ac:dyDescent="0.35">
      <c r="A250" t="s">
        <v>530</v>
      </c>
      <c r="B250" t="s">
        <v>531</v>
      </c>
    </row>
    <row r="251" spans="1:2" x14ac:dyDescent="0.35">
      <c r="A251" t="s">
        <v>532</v>
      </c>
      <c r="B251" t="s">
        <v>533</v>
      </c>
    </row>
    <row r="252" spans="1:2" x14ac:dyDescent="0.35">
      <c r="A252" t="s">
        <v>534</v>
      </c>
      <c r="B252" t="s">
        <v>535</v>
      </c>
    </row>
    <row r="253" spans="1:2" x14ac:dyDescent="0.35">
      <c r="A253" t="s">
        <v>536</v>
      </c>
      <c r="B253" t="s">
        <v>537</v>
      </c>
    </row>
    <row r="254" spans="1:2" x14ac:dyDescent="0.35">
      <c r="A254" t="s">
        <v>538</v>
      </c>
      <c r="B254" t="s">
        <v>539</v>
      </c>
    </row>
    <row r="255" spans="1:2" x14ac:dyDescent="0.35">
      <c r="A255" t="s">
        <v>540</v>
      </c>
      <c r="B255" t="s">
        <v>541</v>
      </c>
    </row>
    <row r="256" spans="1:2" x14ac:dyDescent="0.35">
      <c r="A256" t="s">
        <v>542</v>
      </c>
      <c r="B256" t="s">
        <v>543</v>
      </c>
    </row>
    <row r="257" spans="1:2" x14ac:dyDescent="0.35">
      <c r="A257" t="s">
        <v>544</v>
      </c>
      <c r="B257" t="s">
        <v>545</v>
      </c>
    </row>
    <row r="258" spans="1:2" x14ac:dyDescent="0.35">
      <c r="A258" t="s">
        <v>546</v>
      </c>
      <c r="B258" t="s">
        <v>547</v>
      </c>
    </row>
    <row r="259" spans="1:2" x14ac:dyDescent="0.35">
      <c r="A259" t="s">
        <v>548</v>
      </c>
      <c r="B259" t="s">
        <v>549</v>
      </c>
    </row>
    <row r="260" spans="1:2" x14ac:dyDescent="0.35">
      <c r="A260" t="s">
        <v>550</v>
      </c>
      <c r="B260" t="s">
        <v>551</v>
      </c>
    </row>
    <row r="261" spans="1:2" x14ac:dyDescent="0.35">
      <c r="A261" t="s">
        <v>552</v>
      </c>
      <c r="B261" t="s">
        <v>553</v>
      </c>
    </row>
    <row r="262" spans="1:2" x14ac:dyDescent="0.35">
      <c r="A262" t="s">
        <v>554</v>
      </c>
      <c r="B262" t="s">
        <v>555</v>
      </c>
    </row>
    <row r="263" spans="1:2" x14ac:dyDescent="0.35">
      <c r="A263" t="s">
        <v>556</v>
      </c>
      <c r="B263" t="s">
        <v>557</v>
      </c>
    </row>
    <row r="264" spans="1:2" x14ac:dyDescent="0.35">
      <c r="A264" t="s">
        <v>558</v>
      </c>
      <c r="B264" t="s">
        <v>559</v>
      </c>
    </row>
    <row r="265" spans="1:2" x14ac:dyDescent="0.35">
      <c r="A265" t="s">
        <v>560</v>
      </c>
      <c r="B265" t="s">
        <v>561</v>
      </c>
    </row>
    <row r="266" spans="1:2" x14ac:dyDescent="0.35">
      <c r="A266" t="s">
        <v>562</v>
      </c>
      <c r="B266" t="s">
        <v>563</v>
      </c>
    </row>
    <row r="267" spans="1:2" x14ac:dyDescent="0.35">
      <c r="A267" t="s">
        <v>564</v>
      </c>
      <c r="B267" t="s">
        <v>565</v>
      </c>
    </row>
    <row r="268" spans="1:2" x14ac:dyDescent="0.35">
      <c r="A268" t="s">
        <v>566</v>
      </c>
      <c r="B268" t="s">
        <v>567</v>
      </c>
    </row>
    <row r="269" spans="1:2" x14ac:dyDescent="0.35">
      <c r="A269" t="s">
        <v>568</v>
      </c>
      <c r="B269" t="s">
        <v>569</v>
      </c>
    </row>
    <row r="270" spans="1:2" x14ac:dyDescent="0.35">
      <c r="A270" t="s">
        <v>570</v>
      </c>
      <c r="B270" t="s">
        <v>571</v>
      </c>
    </row>
    <row r="271" spans="1:2" x14ac:dyDescent="0.35">
      <c r="A271" t="s">
        <v>572</v>
      </c>
      <c r="B271" t="s">
        <v>573</v>
      </c>
    </row>
    <row r="272" spans="1:2" x14ac:dyDescent="0.35">
      <c r="A272" t="s">
        <v>574</v>
      </c>
      <c r="B272" t="s">
        <v>575</v>
      </c>
    </row>
    <row r="273" spans="1:2" x14ac:dyDescent="0.35">
      <c r="A273" t="s">
        <v>576</v>
      </c>
      <c r="B273" t="s">
        <v>577</v>
      </c>
    </row>
    <row r="274" spans="1:2" x14ac:dyDescent="0.35">
      <c r="A274" t="s">
        <v>578</v>
      </c>
      <c r="B274" t="s">
        <v>579</v>
      </c>
    </row>
    <row r="275" spans="1:2" x14ac:dyDescent="0.35">
      <c r="A275" t="s">
        <v>580</v>
      </c>
      <c r="B275" t="s">
        <v>581</v>
      </c>
    </row>
    <row r="276" spans="1:2" x14ac:dyDescent="0.35">
      <c r="A276" t="s">
        <v>582</v>
      </c>
      <c r="B276" t="s">
        <v>583</v>
      </c>
    </row>
    <row r="277" spans="1:2" x14ac:dyDescent="0.35">
      <c r="A277" t="s">
        <v>584</v>
      </c>
      <c r="B277" t="s">
        <v>585</v>
      </c>
    </row>
    <row r="278" spans="1:2" x14ac:dyDescent="0.35">
      <c r="A278" t="s">
        <v>586</v>
      </c>
      <c r="B278" t="s">
        <v>587</v>
      </c>
    </row>
    <row r="279" spans="1:2" x14ac:dyDescent="0.35">
      <c r="A279" t="s">
        <v>588</v>
      </c>
      <c r="B279" t="s">
        <v>589</v>
      </c>
    </row>
    <row r="280" spans="1:2" x14ac:dyDescent="0.35">
      <c r="A280" t="s">
        <v>590</v>
      </c>
      <c r="B280" t="s">
        <v>591</v>
      </c>
    </row>
    <row r="281" spans="1:2" x14ac:dyDescent="0.35">
      <c r="A281" t="s">
        <v>592</v>
      </c>
      <c r="B281" t="s">
        <v>593</v>
      </c>
    </row>
    <row r="282" spans="1:2" x14ac:dyDescent="0.35">
      <c r="A282" t="s">
        <v>594</v>
      </c>
      <c r="B282" t="s">
        <v>595</v>
      </c>
    </row>
    <row r="283" spans="1:2" x14ac:dyDescent="0.35">
      <c r="A283" t="s">
        <v>596</v>
      </c>
      <c r="B283" t="s">
        <v>597</v>
      </c>
    </row>
    <row r="284" spans="1:2" x14ac:dyDescent="0.35">
      <c r="A284" t="s">
        <v>598</v>
      </c>
      <c r="B284" t="s">
        <v>599</v>
      </c>
    </row>
    <row r="285" spans="1:2" x14ac:dyDescent="0.35">
      <c r="A285" t="s">
        <v>600</v>
      </c>
      <c r="B285" t="s">
        <v>601</v>
      </c>
    </row>
    <row r="286" spans="1:2" x14ac:dyDescent="0.35">
      <c r="A286" t="s">
        <v>602</v>
      </c>
      <c r="B286" t="s">
        <v>603</v>
      </c>
    </row>
    <row r="287" spans="1:2" x14ac:dyDescent="0.35">
      <c r="A287" t="s">
        <v>604</v>
      </c>
      <c r="B287" t="s">
        <v>605</v>
      </c>
    </row>
    <row r="288" spans="1:2" x14ac:dyDescent="0.35">
      <c r="A288" t="s">
        <v>606</v>
      </c>
      <c r="B288" t="s">
        <v>607</v>
      </c>
    </row>
    <row r="289" spans="1:2" x14ac:dyDescent="0.35">
      <c r="A289" t="s">
        <v>608</v>
      </c>
      <c r="B289" t="s">
        <v>609</v>
      </c>
    </row>
    <row r="290" spans="1:2" x14ac:dyDescent="0.35">
      <c r="A290" t="s">
        <v>610</v>
      </c>
      <c r="B290" t="s">
        <v>611</v>
      </c>
    </row>
    <row r="291" spans="1:2" x14ac:dyDescent="0.35">
      <c r="A291" t="s">
        <v>612</v>
      </c>
      <c r="B291" t="s">
        <v>613</v>
      </c>
    </row>
    <row r="292" spans="1:2" x14ac:dyDescent="0.35">
      <c r="A292" t="s">
        <v>614</v>
      </c>
      <c r="B292" t="s">
        <v>615</v>
      </c>
    </row>
    <row r="293" spans="1:2" x14ac:dyDescent="0.35">
      <c r="A293" t="s">
        <v>616</v>
      </c>
      <c r="B293" t="s">
        <v>617</v>
      </c>
    </row>
    <row r="294" spans="1:2" x14ac:dyDescent="0.35">
      <c r="A294" t="s">
        <v>618</v>
      </c>
      <c r="B294" t="s">
        <v>619</v>
      </c>
    </row>
    <row r="295" spans="1:2" x14ac:dyDescent="0.35">
      <c r="A295" t="s">
        <v>620</v>
      </c>
      <c r="B295" t="s">
        <v>621</v>
      </c>
    </row>
    <row r="296" spans="1:2" x14ac:dyDescent="0.35">
      <c r="A296" t="s">
        <v>622</v>
      </c>
      <c r="B296" t="s">
        <v>623</v>
      </c>
    </row>
    <row r="297" spans="1:2" x14ac:dyDescent="0.35">
      <c r="A297" t="s">
        <v>624</v>
      </c>
      <c r="B297" t="s">
        <v>625</v>
      </c>
    </row>
    <row r="298" spans="1:2" x14ac:dyDescent="0.35">
      <c r="A298" t="s">
        <v>626</v>
      </c>
      <c r="B298" t="s">
        <v>627</v>
      </c>
    </row>
    <row r="299" spans="1:2" x14ac:dyDescent="0.35">
      <c r="A299" t="s">
        <v>628</v>
      </c>
      <c r="B299" t="s">
        <v>629</v>
      </c>
    </row>
    <row r="300" spans="1:2" x14ac:dyDescent="0.35">
      <c r="A300" t="s">
        <v>630</v>
      </c>
      <c r="B300" t="s">
        <v>631</v>
      </c>
    </row>
    <row r="301" spans="1:2" x14ac:dyDescent="0.35">
      <c r="A301" t="s">
        <v>632</v>
      </c>
      <c r="B301" t="s">
        <v>633</v>
      </c>
    </row>
    <row r="302" spans="1:2" x14ac:dyDescent="0.35">
      <c r="A302" t="s">
        <v>634</v>
      </c>
      <c r="B302" t="s">
        <v>635</v>
      </c>
    </row>
    <row r="303" spans="1:2" x14ac:dyDescent="0.35">
      <c r="A303" t="s">
        <v>636</v>
      </c>
      <c r="B303" t="s">
        <v>637</v>
      </c>
    </row>
    <row r="304" spans="1:2" x14ac:dyDescent="0.35">
      <c r="A304" t="s">
        <v>638</v>
      </c>
      <c r="B304" t="s">
        <v>639</v>
      </c>
    </row>
    <row r="305" spans="1:2" x14ac:dyDescent="0.35">
      <c r="A305" t="s">
        <v>640</v>
      </c>
      <c r="B305" t="s">
        <v>641</v>
      </c>
    </row>
    <row r="306" spans="1:2" x14ac:dyDescent="0.35">
      <c r="A306" t="s">
        <v>642</v>
      </c>
      <c r="B306" t="s">
        <v>643</v>
      </c>
    </row>
    <row r="307" spans="1:2" x14ac:dyDescent="0.35">
      <c r="A307" t="s">
        <v>644</v>
      </c>
      <c r="B307" t="s">
        <v>645</v>
      </c>
    </row>
    <row r="308" spans="1:2" x14ac:dyDescent="0.35">
      <c r="A308" t="s">
        <v>646</v>
      </c>
      <c r="B308" t="s">
        <v>647</v>
      </c>
    </row>
    <row r="309" spans="1:2" x14ac:dyDescent="0.35">
      <c r="A309" t="s">
        <v>648</v>
      </c>
      <c r="B309" t="s">
        <v>649</v>
      </c>
    </row>
    <row r="310" spans="1:2" x14ac:dyDescent="0.35">
      <c r="A310" t="s">
        <v>650</v>
      </c>
      <c r="B310" t="s">
        <v>651</v>
      </c>
    </row>
    <row r="311" spans="1:2" x14ac:dyDescent="0.35">
      <c r="A311" t="s">
        <v>652</v>
      </c>
      <c r="B311" t="s">
        <v>653</v>
      </c>
    </row>
    <row r="312" spans="1:2" x14ac:dyDescent="0.35">
      <c r="A312" t="s">
        <v>654</v>
      </c>
      <c r="B312" t="s">
        <v>655</v>
      </c>
    </row>
    <row r="313" spans="1:2" x14ac:dyDescent="0.35">
      <c r="A313" t="s">
        <v>656</v>
      </c>
      <c r="B313" t="s">
        <v>657</v>
      </c>
    </row>
    <row r="314" spans="1:2" x14ac:dyDescent="0.35">
      <c r="A314" t="s">
        <v>658</v>
      </c>
      <c r="B314" t="s">
        <v>659</v>
      </c>
    </row>
    <row r="315" spans="1:2" x14ac:dyDescent="0.35">
      <c r="A315" t="s">
        <v>660</v>
      </c>
      <c r="B315" t="s">
        <v>661</v>
      </c>
    </row>
    <row r="316" spans="1:2" x14ac:dyDescent="0.35">
      <c r="A316" t="s">
        <v>662</v>
      </c>
      <c r="B316" t="s">
        <v>663</v>
      </c>
    </row>
    <row r="317" spans="1:2" x14ac:dyDescent="0.35">
      <c r="A317" t="s">
        <v>664</v>
      </c>
      <c r="B317" t="s">
        <v>665</v>
      </c>
    </row>
    <row r="318" spans="1:2" x14ac:dyDescent="0.35">
      <c r="A318" t="s">
        <v>666</v>
      </c>
      <c r="B318" t="s">
        <v>667</v>
      </c>
    </row>
    <row r="319" spans="1:2" x14ac:dyDescent="0.35">
      <c r="A319" t="s">
        <v>668</v>
      </c>
      <c r="B319" t="s">
        <v>669</v>
      </c>
    </row>
    <row r="320" spans="1:2" x14ac:dyDescent="0.35">
      <c r="A320" t="s">
        <v>670</v>
      </c>
      <c r="B320" t="s">
        <v>671</v>
      </c>
    </row>
    <row r="321" spans="1:2" x14ac:dyDescent="0.35">
      <c r="A321" t="s">
        <v>672</v>
      </c>
      <c r="B321" t="s">
        <v>673</v>
      </c>
    </row>
    <row r="322" spans="1:2" x14ac:dyDescent="0.35">
      <c r="A322" t="s">
        <v>674</v>
      </c>
      <c r="B322" t="s">
        <v>675</v>
      </c>
    </row>
    <row r="323" spans="1:2" x14ac:dyDescent="0.35">
      <c r="A323" t="s">
        <v>676</v>
      </c>
      <c r="B323" t="s">
        <v>677</v>
      </c>
    </row>
    <row r="324" spans="1:2" x14ac:dyDescent="0.35">
      <c r="A324" t="s">
        <v>678</v>
      </c>
      <c r="B324" t="s">
        <v>679</v>
      </c>
    </row>
    <row r="325" spans="1:2" x14ac:dyDescent="0.35">
      <c r="A325" t="s">
        <v>680</v>
      </c>
      <c r="B325" t="s">
        <v>681</v>
      </c>
    </row>
    <row r="326" spans="1:2" x14ac:dyDescent="0.35">
      <c r="A326" t="s">
        <v>682</v>
      </c>
      <c r="B326" t="s">
        <v>683</v>
      </c>
    </row>
    <row r="327" spans="1:2" x14ac:dyDescent="0.35">
      <c r="A327" t="s">
        <v>684</v>
      </c>
      <c r="B327" t="s">
        <v>685</v>
      </c>
    </row>
    <row r="328" spans="1:2" x14ac:dyDescent="0.35">
      <c r="A328" t="s">
        <v>686</v>
      </c>
      <c r="B328" t="s">
        <v>687</v>
      </c>
    </row>
    <row r="329" spans="1:2" x14ac:dyDescent="0.35">
      <c r="A329" t="s">
        <v>688</v>
      </c>
      <c r="B329" t="s">
        <v>689</v>
      </c>
    </row>
    <row r="330" spans="1:2" x14ac:dyDescent="0.35">
      <c r="A330" t="s">
        <v>690</v>
      </c>
      <c r="B330" t="s">
        <v>691</v>
      </c>
    </row>
    <row r="331" spans="1:2" x14ac:dyDescent="0.35">
      <c r="A331" t="s">
        <v>692</v>
      </c>
      <c r="B331" t="s">
        <v>693</v>
      </c>
    </row>
    <row r="332" spans="1:2" x14ac:dyDescent="0.35">
      <c r="A332" t="s">
        <v>694</v>
      </c>
      <c r="B332" t="s">
        <v>695</v>
      </c>
    </row>
    <row r="333" spans="1:2" x14ac:dyDescent="0.35">
      <c r="A333" t="s">
        <v>696</v>
      </c>
      <c r="B333" t="s">
        <v>697</v>
      </c>
    </row>
    <row r="334" spans="1:2" x14ac:dyDescent="0.35">
      <c r="A334" t="s">
        <v>698</v>
      </c>
      <c r="B334" t="s">
        <v>699</v>
      </c>
    </row>
    <row r="335" spans="1:2" x14ac:dyDescent="0.35">
      <c r="A335" t="s">
        <v>700</v>
      </c>
      <c r="B335" t="s">
        <v>701</v>
      </c>
    </row>
    <row r="336" spans="1:2" x14ac:dyDescent="0.35">
      <c r="A336" t="s">
        <v>702</v>
      </c>
      <c r="B336" t="s">
        <v>703</v>
      </c>
    </row>
    <row r="337" spans="1:2" x14ac:dyDescent="0.35">
      <c r="A337" t="s">
        <v>704</v>
      </c>
      <c r="B337" t="s">
        <v>705</v>
      </c>
    </row>
    <row r="338" spans="1:2" x14ac:dyDescent="0.35">
      <c r="A338" t="s">
        <v>706</v>
      </c>
      <c r="B338" t="s">
        <v>707</v>
      </c>
    </row>
    <row r="339" spans="1:2" x14ac:dyDescent="0.35">
      <c r="A339" t="s">
        <v>708</v>
      </c>
      <c r="B339" t="s">
        <v>709</v>
      </c>
    </row>
    <row r="340" spans="1:2" x14ac:dyDescent="0.35">
      <c r="A340" t="s">
        <v>710</v>
      </c>
      <c r="B340" t="s">
        <v>711</v>
      </c>
    </row>
    <row r="341" spans="1:2" x14ac:dyDescent="0.35">
      <c r="A341" t="s">
        <v>712</v>
      </c>
      <c r="B341" t="s">
        <v>713</v>
      </c>
    </row>
    <row r="342" spans="1:2" x14ac:dyDescent="0.35">
      <c r="A342" t="s">
        <v>714</v>
      </c>
      <c r="B342" t="s">
        <v>715</v>
      </c>
    </row>
    <row r="343" spans="1:2" x14ac:dyDescent="0.35">
      <c r="A343" t="s">
        <v>716</v>
      </c>
      <c r="B343" t="s">
        <v>717</v>
      </c>
    </row>
    <row r="344" spans="1:2" x14ac:dyDescent="0.35">
      <c r="A344" t="s">
        <v>718</v>
      </c>
      <c r="B344" t="s">
        <v>719</v>
      </c>
    </row>
    <row r="345" spans="1:2" x14ac:dyDescent="0.35">
      <c r="A345" t="s">
        <v>720</v>
      </c>
      <c r="B345" t="s">
        <v>721</v>
      </c>
    </row>
    <row r="346" spans="1:2" x14ac:dyDescent="0.35">
      <c r="A346" t="s">
        <v>722</v>
      </c>
      <c r="B346" t="s">
        <v>723</v>
      </c>
    </row>
    <row r="347" spans="1:2" x14ac:dyDescent="0.35">
      <c r="A347" t="s">
        <v>724</v>
      </c>
      <c r="B347" t="s">
        <v>725</v>
      </c>
    </row>
    <row r="348" spans="1:2" x14ac:dyDescent="0.35">
      <c r="A348" t="s">
        <v>726</v>
      </c>
      <c r="B348" t="s">
        <v>727</v>
      </c>
    </row>
    <row r="349" spans="1:2" x14ac:dyDescent="0.35">
      <c r="A349" t="s">
        <v>728</v>
      </c>
      <c r="B349" t="s">
        <v>729</v>
      </c>
    </row>
    <row r="350" spans="1:2" x14ac:dyDescent="0.35">
      <c r="A350" t="s">
        <v>730</v>
      </c>
      <c r="B350" t="s">
        <v>731</v>
      </c>
    </row>
    <row r="351" spans="1:2" x14ac:dyDescent="0.35">
      <c r="A351" t="s">
        <v>732</v>
      </c>
      <c r="B351" t="s">
        <v>733</v>
      </c>
    </row>
    <row r="352" spans="1:2" x14ac:dyDescent="0.35">
      <c r="A352" t="s">
        <v>734</v>
      </c>
      <c r="B352" t="s">
        <v>735</v>
      </c>
    </row>
    <row r="353" spans="1:2" x14ac:dyDescent="0.35">
      <c r="A353" t="s">
        <v>736</v>
      </c>
      <c r="B353" t="s">
        <v>737</v>
      </c>
    </row>
    <row r="354" spans="1:2" x14ac:dyDescent="0.35">
      <c r="A354" t="s">
        <v>738</v>
      </c>
      <c r="B354" t="s">
        <v>739</v>
      </c>
    </row>
    <row r="355" spans="1:2" x14ac:dyDescent="0.35">
      <c r="A355" t="s">
        <v>740</v>
      </c>
      <c r="B355" t="s">
        <v>741</v>
      </c>
    </row>
    <row r="356" spans="1:2" x14ac:dyDescent="0.35">
      <c r="A356" t="s">
        <v>742</v>
      </c>
      <c r="B356" t="s">
        <v>743</v>
      </c>
    </row>
    <row r="357" spans="1:2" x14ac:dyDescent="0.35">
      <c r="A357" t="s">
        <v>744</v>
      </c>
      <c r="B357" t="s">
        <v>745</v>
      </c>
    </row>
    <row r="358" spans="1:2" x14ac:dyDescent="0.35">
      <c r="A358" t="s">
        <v>746</v>
      </c>
      <c r="B358" t="s">
        <v>747</v>
      </c>
    </row>
    <row r="359" spans="1:2" x14ac:dyDescent="0.35">
      <c r="A359" t="s">
        <v>748</v>
      </c>
      <c r="B359" t="s">
        <v>749</v>
      </c>
    </row>
    <row r="360" spans="1:2" x14ac:dyDescent="0.35">
      <c r="A360" t="s">
        <v>750</v>
      </c>
      <c r="B360" t="s">
        <v>751</v>
      </c>
    </row>
    <row r="361" spans="1:2" x14ac:dyDescent="0.35">
      <c r="A361" t="s">
        <v>752</v>
      </c>
      <c r="B361" t="s">
        <v>753</v>
      </c>
    </row>
    <row r="362" spans="1:2" x14ac:dyDescent="0.35">
      <c r="A362" t="s">
        <v>754</v>
      </c>
      <c r="B362" t="s">
        <v>755</v>
      </c>
    </row>
    <row r="363" spans="1:2" x14ac:dyDescent="0.35">
      <c r="A363" t="s">
        <v>756</v>
      </c>
      <c r="B363" t="s">
        <v>757</v>
      </c>
    </row>
    <row r="364" spans="1:2" x14ac:dyDescent="0.35">
      <c r="A364" t="s">
        <v>758</v>
      </c>
      <c r="B364" t="s">
        <v>759</v>
      </c>
    </row>
    <row r="365" spans="1:2" x14ac:dyDescent="0.35">
      <c r="A365" t="s">
        <v>760</v>
      </c>
      <c r="B365" t="s">
        <v>761</v>
      </c>
    </row>
    <row r="366" spans="1:2" x14ac:dyDescent="0.35">
      <c r="A366" t="s">
        <v>762</v>
      </c>
      <c r="B366" t="s">
        <v>763</v>
      </c>
    </row>
    <row r="367" spans="1:2" x14ac:dyDescent="0.35">
      <c r="A367" t="s">
        <v>764</v>
      </c>
      <c r="B367" t="s">
        <v>765</v>
      </c>
    </row>
    <row r="368" spans="1:2" x14ac:dyDescent="0.35">
      <c r="A368" t="s">
        <v>766</v>
      </c>
      <c r="B368" t="s">
        <v>767</v>
      </c>
    </row>
    <row r="369" spans="1:2" x14ac:dyDescent="0.35">
      <c r="A369" t="s">
        <v>768</v>
      </c>
      <c r="B369" t="s">
        <v>769</v>
      </c>
    </row>
    <row r="370" spans="1:2" x14ac:dyDescent="0.35">
      <c r="A370" t="s">
        <v>770</v>
      </c>
      <c r="B370" t="s">
        <v>771</v>
      </c>
    </row>
    <row r="371" spans="1:2" x14ac:dyDescent="0.35">
      <c r="A371" t="s">
        <v>772</v>
      </c>
      <c r="B371" t="s">
        <v>773</v>
      </c>
    </row>
    <row r="372" spans="1:2" x14ac:dyDescent="0.35">
      <c r="A372" t="s">
        <v>774</v>
      </c>
      <c r="B372" t="s">
        <v>775</v>
      </c>
    </row>
    <row r="373" spans="1:2" x14ac:dyDescent="0.35">
      <c r="A373" t="s">
        <v>776</v>
      </c>
      <c r="B373" t="s">
        <v>777</v>
      </c>
    </row>
    <row r="374" spans="1:2" x14ac:dyDescent="0.35">
      <c r="A374" t="s">
        <v>778</v>
      </c>
      <c r="B374" t="s">
        <v>779</v>
      </c>
    </row>
    <row r="375" spans="1:2" x14ac:dyDescent="0.35">
      <c r="A375" t="s">
        <v>780</v>
      </c>
      <c r="B375" t="s">
        <v>781</v>
      </c>
    </row>
    <row r="376" spans="1:2" x14ac:dyDescent="0.35">
      <c r="A376" t="s">
        <v>782</v>
      </c>
      <c r="B376" t="s">
        <v>783</v>
      </c>
    </row>
    <row r="377" spans="1:2" x14ac:dyDescent="0.35">
      <c r="A377" t="s">
        <v>784</v>
      </c>
      <c r="B377" t="s">
        <v>785</v>
      </c>
    </row>
    <row r="378" spans="1:2" x14ac:dyDescent="0.35">
      <c r="A378" t="s">
        <v>786</v>
      </c>
      <c r="B378" t="s">
        <v>787</v>
      </c>
    </row>
    <row r="379" spans="1:2" x14ac:dyDescent="0.35">
      <c r="A379" t="s">
        <v>788</v>
      </c>
      <c r="B379" t="s">
        <v>789</v>
      </c>
    </row>
    <row r="380" spans="1:2" x14ac:dyDescent="0.35">
      <c r="A380" t="s">
        <v>790</v>
      </c>
      <c r="B380" t="s">
        <v>791</v>
      </c>
    </row>
    <row r="381" spans="1:2" x14ac:dyDescent="0.35">
      <c r="A381" t="s">
        <v>792</v>
      </c>
      <c r="B381" t="s">
        <v>793</v>
      </c>
    </row>
    <row r="382" spans="1:2" x14ac:dyDescent="0.35">
      <c r="A382" t="s">
        <v>794</v>
      </c>
      <c r="B382" t="s">
        <v>795</v>
      </c>
    </row>
    <row r="383" spans="1:2" x14ac:dyDescent="0.35">
      <c r="A383" t="s">
        <v>796</v>
      </c>
      <c r="B383" t="s">
        <v>797</v>
      </c>
    </row>
    <row r="384" spans="1:2" x14ac:dyDescent="0.35">
      <c r="A384" t="s">
        <v>798</v>
      </c>
      <c r="B384" t="s">
        <v>799</v>
      </c>
    </row>
    <row r="385" spans="1:2" x14ac:dyDescent="0.35">
      <c r="A385" t="s">
        <v>800</v>
      </c>
      <c r="B385" t="s">
        <v>801</v>
      </c>
    </row>
    <row r="386" spans="1:2" x14ac:dyDescent="0.35">
      <c r="A386" t="s">
        <v>802</v>
      </c>
      <c r="B386" t="s">
        <v>803</v>
      </c>
    </row>
    <row r="387" spans="1:2" x14ac:dyDescent="0.35">
      <c r="A387" t="s">
        <v>804</v>
      </c>
      <c r="B387" t="s">
        <v>805</v>
      </c>
    </row>
    <row r="388" spans="1:2" x14ac:dyDescent="0.35">
      <c r="A388" t="s">
        <v>806</v>
      </c>
      <c r="B388" t="s">
        <v>807</v>
      </c>
    </row>
    <row r="389" spans="1:2" x14ac:dyDescent="0.35">
      <c r="A389" t="s">
        <v>808</v>
      </c>
      <c r="B389" t="s">
        <v>809</v>
      </c>
    </row>
    <row r="390" spans="1:2" x14ac:dyDescent="0.35">
      <c r="A390" t="s">
        <v>810</v>
      </c>
      <c r="B390" t="s">
        <v>811</v>
      </c>
    </row>
    <row r="391" spans="1:2" x14ac:dyDescent="0.35">
      <c r="A391" t="s">
        <v>812</v>
      </c>
      <c r="B391" t="s">
        <v>813</v>
      </c>
    </row>
    <row r="392" spans="1:2" x14ac:dyDescent="0.35">
      <c r="A392" t="s">
        <v>814</v>
      </c>
      <c r="B392" t="s">
        <v>815</v>
      </c>
    </row>
    <row r="393" spans="1:2" x14ac:dyDescent="0.35">
      <c r="A393" t="s">
        <v>816</v>
      </c>
      <c r="B393" t="s">
        <v>817</v>
      </c>
    </row>
    <row r="394" spans="1:2" x14ac:dyDescent="0.35">
      <c r="A394" t="s">
        <v>818</v>
      </c>
      <c r="B394" t="s">
        <v>819</v>
      </c>
    </row>
    <row r="395" spans="1:2" x14ac:dyDescent="0.35">
      <c r="A395" t="s">
        <v>820</v>
      </c>
      <c r="B395" t="s">
        <v>821</v>
      </c>
    </row>
    <row r="396" spans="1:2" x14ac:dyDescent="0.35">
      <c r="A396" t="s">
        <v>822</v>
      </c>
      <c r="B396" t="s">
        <v>823</v>
      </c>
    </row>
    <row r="397" spans="1:2" x14ac:dyDescent="0.35">
      <c r="A397" t="s">
        <v>824</v>
      </c>
      <c r="B397" t="s">
        <v>825</v>
      </c>
    </row>
    <row r="398" spans="1:2" x14ac:dyDescent="0.35">
      <c r="A398" t="s">
        <v>826</v>
      </c>
      <c r="B398" t="s">
        <v>827</v>
      </c>
    </row>
    <row r="399" spans="1:2" x14ac:dyDescent="0.35">
      <c r="A399" t="s">
        <v>828</v>
      </c>
      <c r="B399" t="s">
        <v>829</v>
      </c>
    </row>
    <row r="400" spans="1:2" x14ac:dyDescent="0.35">
      <c r="A400" t="s">
        <v>830</v>
      </c>
      <c r="B400" t="s">
        <v>831</v>
      </c>
    </row>
    <row r="401" spans="1:2" x14ac:dyDescent="0.35">
      <c r="A401" t="s">
        <v>832</v>
      </c>
      <c r="B401" t="s">
        <v>833</v>
      </c>
    </row>
    <row r="402" spans="1:2" x14ac:dyDescent="0.35">
      <c r="A402" t="s">
        <v>834</v>
      </c>
      <c r="B402" t="s">
        <v>835</v>
      </c>
    </row>
    <row r="403" spans="1:2" x14ac:dyDescent="0.35">
      <c r="A403" t="s">
        <v>836</v>
      </c>
      <c r="B403" t="s">
        <v>837</v>
      </c>
    </row>
    <row r="404" spans="1:2" x14ac:dyDescent="0.35">
      <c r="A404" t="s">
        <v>838</v>
      </c>
      <c r="B404" t="s">
        <v>839</v>
      </c>
    </row>
    <row r="405" spans="1:2" x14ac:dyDescent="0.35">
      <c r="A405" t="s">
        <v>840</v>
      </c>
      <c r="B405" t="s">
        <v>841</v>
      </c>
    </row>
    <row r="406" spans="1:2" x14ac:dyDescent="0.35">
      <c r="A406" t="s">
        <v>842</v>
      </c>
      <c r="B406" t="s">
        <v>843</v>
      </c>
    </row>
    <row r="407" spans="1:2" x14ac:dyDescent="0.35">
      <c r="A407" t="s">
        <v>844</v>
      </c>
      <c r="B407" t="s">
        <v>845</v>
      </c>
    </row>
    <row r="408" spans="1:2" x14ac:dyDescent="0.35">
      <c r="A408" t="s">
        <v>846</v>
      </c>
      <c r="B408" t="s">
        <v>847</v>
      </c>
    </row>
    <row r="409" spans="1:2" x14ac:dyDescent="0.35">
      <c r="A409" t="s">
        <v>848</v>
      </c>
      <c r="B409" t="s">
        <v>849</v>
      </c>
    </row>
    <row r="410" spans="1:2" x14ac:dyDescent="0.35">
      <c r="A410" t="s">
        <v>850</v>
      </c>
      <c r="B410" t="s">
        <v>851</v>
      </c>
    </row>
    <row r="411" spans="1:2" x14ac:dyDescent="0.35">
      <c r="A411" t="s">
        <v>852</v>
      </c>
      <c r="B411" t="s">
        <v>853</v>
      </c>
    </row>
    <row r="412" spans="1:2" x14ac:dyDescent="0.35">
      <c r="A412" t="s">
        <v>854</v>
      </c>
      <c r="B412" t="s">
        <v>855</v>
      </c>
    </row>
    <row r="413" spans="1:2" x14ac:dyDescent="0.35">
      <c r="A413" t="s">
        <v>856</v>
      </c>
      <c r="B413" t="s">
        <v>857</v>
      </c>
    </row>
    <row r="414" spans="1:2" x14ac:dyDescent="0.35">
      <c r="A414" t="s">
        <v>858</v>
      </c>
      <c r="B414" t="s">
        <v>859</v>
      </c>
    </row>
    <row r="415" spans="1:2" x14ac:dyDescent="0.35">
      <c r="A415" t="s">
        <v>860</v>
      </c>
      <c r="B415" t="s">
        <v>861</v>
      </c>
    </row>
    <row r="416" spans="1:2" x14ac:dyDescent="0.35">
      <c r="A416" t="s">
        <v>862</v>
      </c>
      <c r="B416" t="s">
        <v>863</v>
      </c>
    </row>
    <row r="417" spans="1:2" x14ac:dyDescent="0.35">
      <c r="A417" t="s">
        <v>864</v>
      </c>
      <c r="B417" t="s">
        <v>865</v>
      </c>
    </row>
    <row r="418" spans="1:2" x14ac:dyDescent="0.35">
      <c r="A418" t="s">
        <v>866</v>
      </c>
      <c r="B418" t="s">
        <v>867</v>
      </c>
    </row>
    <row r="419" spans="1:2" x14ac:dyDescent="0.35">
      <c r="A419" t="s">
        <v>868</v>
      </c>
      <c r="B419" t="s">
        <v>869</v>
      </c>
    </row>
    <row r="420" spans="1:2" x14ac:dyDescent="0.35">
      <c r="A420" t="s">
        <v>870</v>
      </c>
      <c r="B420" t="s">
        <v>871</v>
      </c>
    </row>
    <row r="421" spans="1:2" x14ac:dyDescent="0.35">
      <c r="A421" t="s">
        <v>872</v>
      </c>
      <c r="B421" t="s">
        <v>873</v>
      </c>
    </row>
    <row r="422" spans="1:2" x14ac:dyDescent="0.35">
      <c r="A422" t="s">
        <v>874</v>
      </c>
      <c r="B422" t="s">
        <v>875</v>
      </c>
    </row>
    <row r="423" spans="1:2" x14ac:dyDescent="0.35">
      <c r="A423" t="s">
        <v>876</v>
      </c>
      <c r="B423" t="s">
        <v>877</v>
      </c>
    </row>
    <row r="424" spans="1:2" x14ac:dyDescent="0.35">
      <c r="A424" t="s">
        <v>878</v>
      </c>
      <c r="B424" t="s">
        <v>879</v>
      </c>
    </row>
    <row r="425" spans="1:2" x14ac:dyDescent="0.35">
      <c r="A425" t="s">
        <v>880</v>
      </c>
      <c r="B425" t="s">
        <v>881</v>
      </c>
    </row>
    <row r="426" spans="1:2" x14ac:dyDescent="0.35">
      <c r="A426" t="s">
        <v>882</v>
      </c>
      <c r="B426" t="s">
        <v>883</v>
      </c>
    </row>
    <row r="427" spans="1:2" x14ac:dyDescent="0.35">
      <c r="A427" t="s">
        <v>884</v>
      </c>
      <c r="B427" t="s">
        <v>885</v>
      </c>
    </row>
    <row r="428" spans="1:2" x14ac:dyDescent="0.35">
      <c r="A428" t="s">
        <v>886</v>
      </c>
      <c r="B428" t="s">
        <v>887</v>
      </c>
    </row>
    <row r="429" spans="1:2" x14ac:dyDescent="0.35">
      <c r="A429" t="s">
        <v>888</v>
      </c>
      <c r="B429" t="s">
        <v>889</v>
      </c>
    </row>
    <row r="430" spans="1:2" x14ac:dyDescent="0.35">
      <c r="A430" t="s">
        <v>890</v>
      </c>
      <c r="B430" t="s">
        <v>891</v>
      </c>
    </row>
    <row r="431" spans="1:2" x14ac:dyDescent="0.35">
      <c r="A431" t="s">
        <v>892</v>
      </c>
      <c r="B431" t="s">
        <v>893</v>
      </c>
    </row>
    <row r="432" spans="1:2" x14ac:dyDescent="0.35">
      <c r="A432" t="s">
        <v>894</v>
      </c>
      <c r="B432" t="s">
        <v>895</v>
      </c>
    </row>
    <row r="433" spans="1:2" x14ac:dyDescent="0.35">
      <c r="A433" t="s">
        <v>896</v>
      </c>
      <c r="B433" t="s">
        <v>897</v>
      </c>
    </row>
    <row r="434" spans="1:2" x14ac:dyDescent="0.35">
      <c r="A434" t="s">
        <v>898</v>
      </c>
      <c r="B434" t="s">
        <v>899</v>
      </c>
    </row>
    <row r="435" spans="1:2" x14ac:dyDescent="0.35">
      <c r="A435" t="s">
        <v>900</v>
      </c>
      <c r="B435" t="s">
        <v>901</v>
      </c>
    </row>
    <row r="436" spans="1:2" x14ac:dyDescent="0.35">
      <c r="A436" t="s">
        <v>902</v>
      </c>
      <c r="B436" t="s">
        <v>903</v>
      </c>
    </row>
    <row r="437" spans="1:2" x14ac:dyDescent="0.35">
      <c r="A437" t="s">
        <v>904</v>
      </c>
      <c r="B437" t="s">
        <v>905</v>
      </c>
    </row>
    <row r="438" spans="1:2" x14ac:dyDescent="0.35">
      <c r="A438" t="s">
        <v>906</v>
      </c>
      <c r="B438" t="s">
        <v>907</v>
      </c>
    </row>
    <row r="439" spans="1:2" x14ac:dyDescent="0.35">
      <c r="A439" t="s">
        <v>908</v>
      </c>
      <c r="B439" t="s">
        <v>909</v>
      </c>
    </row>
    <row r="440" spans="1:2" x14ac:dyDescent="0.35">
      <c r="A440" t="s">
        <v>910</v>
      </c>
      <c r="B440" t="s">
        <v>911</v>
      </c>
    </row>
    <row r="441" spans="1:2" x14ac:dyDescent="0.35">
      <c r="A441" t="s">
        <v>912</v>
      </c>
      <c r="B441" t="s">
        <v>913</v>
      </c>
    </row>
    <row r="442" spans="1:2" x14ac:dyDescent="0.35">
      <c r="A442" t="s">
        <v>914</v>
      </c>
      <c r="B442" t="s">
        <v>915</v>
      </c>
    </row>
    <row r="443" spans="1:2" x14ac:dyDescent="0.35">
      <c r="A443" t="s">
        <v>916</v>
      </c>
      <c r="B443" t="s">
        <v>917</v>
      </c>
    </row>
    <row r="444" spans="1:2" x14ac:dyDescent="0.35">
      <c r="A444" t="s">
        <v>918</v>
      </c>
      <c r="B444" t="s">
        <v>919</v>
      </c>
    </row>
    <row r="445" spans="1:2" x14ac:dyDescent="0.35">
      <c r="A445" t="s">
        <v>920</v>
      </c>
      <c r="B445" t="s">
        <v>921</v>
      </c>
    </row>
    <row r="446" spans="1:2" x14ac:dyDescent="0.35">
      <c r="A446" t="s">
        <v>922</v>
      </c>
      <c r="B446" t="s">
        <v>923</v>
      </c>
    </row>
    <row r="447" spans="1:2" x14ac:dyDescent="0.35">
      <c r="A447" t="s">
        <v>924</v>
      </c>
      <c r="B447" t="s">
        <v>925</v>
      </c>
    </row>
    <row r="448" spans="1:2" x14ac:dyDescent="0.35">
      <c r="A448" t="s">
        <v>926</v>
      </c>
      <c r="B448" t="s">
        <v>927</v>
      </c>
    </row>
    <row r="449" spans="1:2" x14ac:dyDescent="0.35">
      <c r="A449" t="s">
        <v>928</v>
      </c>
      <c r="B449" t="s">
        <v>929</v>
      </c>
    </row>
    <row r="450" spans="1:2" x14ac:dyDescent="0.35">
      <c r="A450" t="s">
        <v>930</v>
      </c>
      <c r="B450" t="s">
        <v>931</v>
      </c>
    </row>
    <row r="451" spans="1:2" x14ac:dyDescent="0.35">
      <c r="A451" t="s">
        <v>932</v>
      </c>
      <c r="B451" t="s">
        <v>933</v>
      </c>
    </row>
    <row r="452" spans="1:2" x14ac:dyDescent="0.35">
      <c r="A452" t="s">
        <v>934</v>
      </c>
      <c r="B452" t="s">
        <v>935</v>
      </c>
    </row>
    <row r="453" spans="1:2" x14ac:dyDescent="0.35">
      <c r="A453" t="s">
        <v>936</v>
      </c>
      <c r="B453" t="s">
        <v>937</v>
      </c>
    </row>
    <row r="454" spans="1:2" x14ac:dyDescent="0.35">
      <c r="A454" t="s">
        <v>938</v>
      </c>
      <c r="B454" t="s">
        <v>939</v>
      </c>
    </row>
    <row r="455" spans="1:2" x14ac:dyDescent="0.35">
      <c r="A455" t="s">
        <v>940</v>
      </c>
      <c r="B455" t="s">
        <v>941</v>
      </c>
    </row>
    <row r="456" spans="1:2" x14ac:dyDescent="0.35">
      <c r="A456" t="s">
        <v>942</v>
      </c>
      <c r="B456" t="s">
        <v>943</v>
      </c>
    </row>
    <row r="457" spans="1:2" x14ac:dyDescent="0.35">
      <c r="A457" t="s">
        <v>944</v>
      </c>
      <c r="B457" t="s">
        <v>945</v>
      </c>
    </row>
    <row r="458" spans="1:2" x14ac:dyDescent="0.35">
      <c r="A458" t="s">
        <v>946</v>
      </c>
      <c r="B458" t="s">
        <v>947</v>
      </c>
    </row>
    <row r="459" spans="1:2" x14ac:dyDescent="0.35">
      <c r="A459" t="s">
        <v>948</v>
      </c>
      <c r="B459" t="s">
        <v>949</v>
      </c>
    </row>
    <row r="460" spans="1:2" x14ac:dyDescent="0.35">
      <c r="A460" t="s">
        <v>950</v>
      </c>
      <c r="B460" t="s">
        <v>951</v>
      </c>
    </row>
    <row r="461" spans="1:2" x14ac:dyDescent="0.35">
      <c r="A461" t="s">
        <v>952</v>
      </c>
      <c r="B461" t="s">
        <v>953</v>
      </c>
    </row>
    <row r="462" spans="1:2" x14ac:dyDescent="0.35">
      <c r="A462" t="s">
        <v>954</v>
      </c>
      <c r="B462" t="s">
        <v>955</v>
      </c>
    </row>
    <row r="463" spans="1:2" x14ac:dyDescent="0.35">
      <c r="A463" t="s">
        <v>956</v>
      </c>
      <c r="B463" t="s">
        <v>957</v>
      </c>
    </row>
    <row r="464" spans="1:2" x14ac:dyDescent="0.35">
      <c r="A464" t="s">
        <v>958</v>
      </c>
      <c r="B464" t="s">
        <v>959</v>
      </c>
    </row>
    <row r="465" spans="1:2" x14ac:dyDescent="0.35">
      <c r="A465" t="s">
        <v>960</v>
      </c>
      <c r="B465" t="s">
        <v>961</v>
      </c>
    </row>
    <row r="466" spans="1:2" x14ac:dyDescent="0.35">
      <c r="A466" t="s">
        <v>962</v>
      </c>
      <c r="B466" t="s">
        <v>963</v>
      </c>
    </row>
    <row r="467" spans="1:2" x14ac:dyDescent="0.35">
      <c r="A467" t="s">
        <v>964</v>
      </c>
      <c r="B467" t="s">
        <v>965</v>
      </c>
    </row>
    <row r="468" spans="1:2" x14ac:dyDescent="0.35">
      <c r="A468" t="s">
        <v>966</v>
      </c>
      <c r="B468" t="s">
        <v>967</v>
      </c>
    </row>
    <row r="469" spans="1:2" x14ac:dyDescent="0.35">
      <c r="A469" t="s">
        <v>968</v>
      </c>
      <c r="B469" t="s">
        <v>969</v>
      </c>
    </row>
    <row r="470" spans="1:2" x14ac:dyDescent="0.35">
      <c r="A470" t="s">
        <v>970</v>
      </c>
      <c r="B470" t="s">
        <v>971</v>
      </c>
    </row>
    <row r="471" spans="1:2" x14ac:dyDescent="0.35">
      <c r="A471" t="s">
        <v>972</v>
      </c>
      <c r="B471" t="s">
        <v>973</v>
      </c>
    </row>
    <row r="472" spans="1:2" x14ac:dyDescent="0.35">
      <c r="A472" t="s">
        <v>974</v>
      </c>
      <c r="B472" t="s">
        <v>975</v>
      </c>
    </row>
    <row r="473" spans="1:2" x14ac:dyDescent="0.35">
      <c r="A473" t="s">
        <v>976</v>
      </c>
      <c r="B473" t="s">
        <v>977</v>
      </c>
    </row>
    <row r="474" spans="1:2" x14ac:dyDescent="0.35">
      <c r="A474" t="s">
        <v>978</v>
      </c>
      <c r="B474" t="s">
        <v>979</v>
      </c>
    </row>
    <row r="475" spans="1:2" x14ac:dyDescent="0.35">
      <c r="A475" t="s">
        <v>980</v>
      </c>
      <c r="B475" t="s">
        <v>981</v>
      </c>
    </row>
    <row r="476" spans="1:2" x14ac:dyDescent="0.35">
      <c r="A476" t="s">
        <v>982</v>
      </c>
      <c r="B476" t="s">
        <v>983</v>
      </c>
    </row>
    <row r="477" spans="1:2" x14ac:dyDescent="0.35">
      <c r="A477" t="s">
        <v>984</v>
      </c>
      <c r="B477" t="s">
        <v>985</v>
      </c>
    </row>
    <row r="478" spans="1:2" x14ac:dyDescent="0.35">
      <c r="A478" t="s">
        <v>986</v>
      </c>
      <c r="B478" t="s">
        <v>987</v>
      </c>
    </row>
    <row r="479" spans="1:2" x14ac:dyDescent="0.35">
      <c r="A479" t="s">
        <v>988</v>
      </c>
      <c r="B479" t="s">
        <v>989</v>
      </c>
    </row>
    <row r="480" spans="1:2" x14ac:dyDescent="0.35">
      <c r="A480" t="s">
        <v>990</v>
      </c>
      <c r="B480" t="s">
        <v>991</v>
      </c>
    </row>
    <row r="481" spans="1:2" x14ac:dyDescent="0.35">
      <c r="A481" t="s">
        <v>992</v>
      </c>
      <c r="B481" t="s">
        <v>993</v>
      </c>
    </row>
    <row r="482" spans="1:2" x14ac:dyDescent="0.35">
      <c r="A482" t="s">
        <v>994</v>
      </c>
      <c r="B482" t="s">
        <v>995</v>
      </c>
    </row>
    <row r="483" spans="1:2" x14ac:dyDescent="0.35">
      <c r="A483" t="s">
        <v>996</v>
      </c>
      <c r="B483" t="s">
        <v>997</v>
      </c>
    </row>
    <row r="484" spans="1:2" x14ac:dyDescent="0.35">
      <c r="A484" t="s">
        <v>998</v>
      </c>
      <c r="B484" t="s">
        <v>999</v>
      </c>
    </row>
    <row r="485" spans="1:2" x14ac:dyDescent="0.35">
      <c r="A485" t="s">
        <v>1000</v>
      </c>
      <c r="B485" t="s">
        <v>1001</v>
      </c>
    </row>
    <row r="486" spans="1:2" x14ac:dyDescent="0.35">
      <c r="A486" t="s">
        <v>1002</v>
      </c>
      <c r="B486" t="s">
        <v>1003</v>
      </c>
    </row>
    <row r="487" spans="1:2" x14ac:dyDescent="0.35">
      <c r="A487" t="s">
        <v>1004</v>
      </c>
      <c r="B487" t="s">
        <v>1005</v>
      </c>
    </row>
    <row r="488" spans="1:2" x14ac:dyDescent="0.35">
      <c r="A488" t="s">
        <v>1006</v>
      </c>
      <c r="B488" t="s">
        <v>1007</v>
      </c>
    </row>
    <row r="489" spans="1:2" x14ac:dyDescent="0.35">
      <c r="A489" t="s">
        <v>1008</v>
      </c>
    </row>
    <row r="490" spans="1:2" x14ac:dyDescent="0.35">
      <c r="A490" t="s">
        <v>1009</v>
      </c>
    </row>
    <row r="491" spans="1:2" x14ac:dyDescent="0.35">
      <c r="A491" t="s">
        <v>1010</v>
      </c>
      <c r="B491" t="s">
        <v>1011</v>
      </c>
    </row>
    <row r="492" spans="1:2" x14ac:dyDescent="0.35">
      <c r="A492" t="s">
        <v>1012</v>
      </c>
      <c r="B492" t="s">
        <v>1013</v>
      </c>
    </row>
    <row r="493" spans="1:2" x14ac:dyDescent="0.35">
      <c r="A493" t="s">
        <v>1014</v>
      </c>
      <c r="B493" t="s">
        <v>1015</v>
      </c>
    </row>
    <row r="494" spans="1:2" x14ac:dyDescent="0.35">
      <c r="A494" t="s">
        <v>1016</v>
      </c>
      <c r="B494" t="s">
        <v>1017</v>
      </c>
    </row>
    <row r="495" spans="1:2" x14ac:dyDescent="0.35">
      <c r="A495" t="s">
        <v>1018</v>
      </c>
      <c r="B495" t="s">
        <v>1019</v>
      </c>
    </row>
    <row r="496" spans="1:2" x14ac:dyDescent="0.35">
      <c r="A496" t="s">
        <v>1020</v>
      </c>
      <c r="B496" t="s">
        <v>1021</v>
      </c>
    </row>
    <row r="497" spans="1:2" x14ac:dyDescent="0.35">
      <c r="A497" t="s">
        <v>1022</v>
      </c>
      <c r="B497" t="s">
        <v>1023</v>
      </c>
    </row>
    <row r="498" spans="1:2" x14ac:dyDescent="0.35">
      <c r="A498" t="s">
        <v>1024</v>
      </c>
      <c r="B498" t="s">
        <v>1025</v>
      </c>
    </row>
    <row r="499" spans="1:2" x14ac:dyDescent="0.35">
      <c r="A499" t="s">
        <v>1026</v>
      </c>
      <c r="B499" t="s">
        <v>1027</v>
      </c>
    </row>
    <row r="500" spans="1:2" x14ac:dyDescent="0.35">
      <c r="A500" t="s">
        <v>1028</v>
      </c>
      <c r="B500" t="s">
        <v>1029</v>
      </c>
    </row>
    <row r="501" spans="1:2" x14ac:dyDescent="0.35">
      <c r="A501" t="s">
        <v>1030</v>
      </c>
      <c r="B501" t="s">
        <v>1031</v>
      </c>
    </row>
    <row r="502" spans="1:2" x14ac:dyDescent="0.35">
      <c r="A502" t="s">
        <v>1032</v>
      </c>
      <c r="B502" t="s">
        <v>1033</v>
      </c>
    </row>
    <row r="503" spans="1:2" x14ac:dyDescent="0.35">
      <c r="A503" t="s">
        <v>1034</v>
      </c>
      <c r="B503" t="s">
        <v>1035</v>
      </c>
    </row>
    <row r="504" spans="1:2" x14ac:dyDescent="0.35">
      <c r="A504" t="s">
        <v>1036</v>
      </c>
      <c r="B504" t="s">
        <v>1037</v>
      </c>
    </row>
    <row r="505" spans="1:2" x14ac:dyDescent="0.35">
      <c r="A505" t="s">
        <v>1038</v>
      </c>
      <c r="B505" t="s">
        <v>1039</v>
      </c>
    </row>
    <row r="506" spans="1:2" x14ac:dyDescent="0.35">
      <c r="A506" t="s">
        <v>1040</v>
      </c>
      <c r="B506" t="s">
        <v>1041</v>
      </c>
    </row>
    <row r="507" spans="1:2" x14ac:dyDescent="0.35">
      <c r="A507" t="s">
        <v>1042</v>
      </c>
      <c r="B507" t="s">
        <v>1043</v>
      </c>
    </row>
    <row r="508" spans="1:2" x14ac:dyDescent="0.35">
      <c r="A508" t="s">
        <v>1044</v>
      </c>
      <c r="B508" t="s">
        <v>1045</v>
      </c>
    </row>
    <row r="509" spans="1:2" x14ac:dyDescent="0.35">
      <c r="A509" t="s">
        <v>1046</v>
      </c>
      <c r="B509" t="s">
        <v>1047</v>
      </c>
    </row>
    <row r="510" spans="1:2" x14ac:dyDescent="0.35">
      <c r="A510" t="s">
        <v>1048</v>
      </c>
      <c r="B510" t="s">
        <v>1049</v>
      </c>
    </row>
    <row r="511" spans="1:2" x14ac:dyDescent="0.35">
      <c r="A511" t="s">
        <v>1050</v>
      </c>
      <c r="B511" t="s">
        <v>1051</v>
      </c>
    </row>
    <row r="512" spans="1:2" x14ac:dyDescent="0.35">
      <c r="A512" t="s">
        <v>1052</v>
      </c>
      <c r="B512" t="s">
        <v>1053</v>
      </c>
    </row>
    <row r="513" spans="1:2" x14ac:dyDescent="0.35">
      <c r="A513" t="s">
        <v>1054</v>
      </c>
      <c r="B513" t="s">
        <v>1055</v>
      </c>
    </row>
    <row r="514" spans="1:2" x14ac:dyDescent="0.35">
      <c r="A514" t="s">
        <v>1056</v>
      </c>
      <c r="B514" t="s">
        <v>1057</v>
      </c>
    </row>
    <row r="515" spans="1:2" x14ac:dyDescent="0.35">
      <c r="A515" t="s">
        <v>1058</v>
      </c>
      <c r="B515" t="s">
        <v>1059</v>
      </c>
    </row>
    <row r="516" spans="1:2" x14ac:dyDescent="0.35">
      <c r="A516" t="s">
        <v>1060</v>
      </c>
      <c r="B516" t="s">
        <v>1061</v>
      </c>
    </row>
    <row r="517" spans="1:2" x14ac:dyDescent="0.35">
      <c r="A517" t="s">
        <v>1062</v>
      </c>
      <c r="B517" t="s">
        <v>1063</v>
      </c>
    </row>
    <row r="518" spans="1:2" x14ac:dyDescent="0.35">
      <c r="A518" t="s">
        <v>1064</v>
      </c>
      <c r="B518" t="s">
        <v>1065</v>
      </c>
    </row>
    <row r="519" spans="1:2" x14ac:dyDescent="0.35">
      <c r="A519" t="s">
        <v>1066</v>
      </c>
      <c r="B519" t="s">
        <v>1067</v>
      </c>
    </row>
    <row r="520" spans="1:2" x14ac:dyDescent="0.35">
      <c r="A520" t="s">
        <v>1068</v>
      </c>
      <c r="B520" t="s">
        <v>1069</v>
      </c>
    </row>
    <row r="521" spans="1:2" x14ac:dyDescent="0.35">
      <c r="A521" t="s">
        <v>1070</v>
      </c>
      <c r="B521" t="s">
        <v>1071</v>
      </c>
    </row>
    <row r="522" spans="1:2" x14ac:dyDescent="0.35">
      <c r="A522" t="s">
        <v>1072</v>
      </c>
      <c r="B522" t="s">
        <v>1073</v>
      </c>
    </row>
    <row r="523" spans="1:2" x14ac:dyDescent="0.35">
      <c r="A523" t="s">
        <v>1074</v>
      </c>
      <c r="B523" t="s">
        <v>1075</v>
      </c>
    </row>
    <row r="524" spans="1:2" x14ac:dyDescent="0.35">
      <c r="A524" t="s">
        <v>1076</v>
      </c>
      <c r="B524" t="s">
        <v>1077</v>
      </c>
    </row>
    <row r="525" spans="1:2" x14ac:dyDescent="0.35">
      <c r="A525" t="s">
        <v>1078</v>
      </c>
      <c r="B525" t="s">
        <v>1079</v>
      </c>
    </row>
    <row r="526" spans="1:2" x14ac:dyDescent="0.35">
      <c r="A526" t="s">
        <v>1080</v>
      </c>
      <c r="B526" t="s">
        <v>1081</v>
      </c>
    </row>
    <row r="527" spans="1:2" x14ac:dyDescent="0.35">
      <c r="A527" t="s">
        <v>1082</v>
      </c>
      <c r="B527" t="s">
        <v>1083</v>
      </c>
    </row>
    <row r="528" spans="1:2" x14ac:dyDescent="0.35">
      <c r="A528" t="s">
        <v>1084</v>
      </c>
      <c r="B528" t="s">
        <v>1085</v>
      </c>
    </row>
    <row r="529" spans="1:2" x14ac:dyDescent="0.35">
      <c r="A529" t="s">
        <v>1086</v>
      </c>
      <c r="B529" t="s">
        <v>1087</v>
      </c>
    </row>
    <row r="530" spans="1:2" x14ac:dyDescent="0.35">
      <c r="A530" t="s">
        <v>1088</v>
      </c>
      <c r="B530" t="s">
        <v>1089</v>
      </c>
    </row>
    <row r="531" spans="1:2" x14ac:dyDescent="0.35">
      <c r="A531" t="s">
        <v>1090</v>
      </c>
      <c r="B531" t="s">
        <v>1091</v>
      </c>
    </row>
    <row r="532" spans="1:2" x14ac:dyDescent="0.35">
      <c r="A532" t="s">
        <v>1092</v>
      </c>
      <c r="B532" t="s">
        <v>1093</v>
      </c>
    </row>
    <row r="533" spans="1:2" x14ac:dyDescent="0.35">
      <c r="A533" t="s">
        <v>1094</v>
      </c>
      <c r="B533" t="s">
        <v>1095</v>
      </c>
    </row>
    <row r="534" spans="1:2" x14ac:dyDescent="0.35">
      <c r="A534" t="s">
        <v>1096</v>
      </c>
      <c r="B534" t="s">
        <v>1097</v>
      </c>
    </row>
    <row r="535" spans="1:2" x14ac:dyDescent="0.35">
      <c r="A535" t="s">
        <v>1098</v>
      </c>
      <c r="B535" t="s">
        <v>1099</v>
      </c>
    </row>
    <row r="536" spans="1:2" x14ac:dyDescent="0.35">
      <c r="A536" t="s">
        <v>1100</v>
      </c>
      <c r="B536" t="s">
        <v>1101</v>
      </c>
    </row>
    <row r="537" spans="1:2" x14ac:dyDescent="0.35">
      <c r="A537" t="s">
        <v>1102</v>
      </c>
      <c r="B537" t="s">
        <v>1103</v>
      </c>
    </row>
    <row r="538" spans="1:2" x14ac:dyDescent="0.35">
      <c r="A538" t="s">
        <v>1104</v>
      </c>
      <c r="B538" t="s">
        <v>1105</v>
      </c>
    </row>
    <row r="539" spans="1:2" x14ac:dyDescent="0.35">
      <c r="A539" t="s">
        <v>1106</v>
      </c>
      <c r="B539" t="s">
        <v>1107</v>
      </c>
    </row>
    <row r="540" spans="1:2" x14ac:dyDescent="0.35">
      <c r="A540" t="s">
        <v>1108</v>
      </c>
      <c r="B540" t="s">
        <v>1109</v>
      </c>
    </row>
    <row r="541" spans="1:2" x14ac:dyDescent="0.35">
      <c r="A541" t="s">
        <v>1110</v>
      </c>
      <c r="B541" t="s">
        <v>1111</v>
      </c>
    </row>
    <row r="542" spans="1:2" x14ac:dyDescent="0.35">
      <c r="A542" t="s">
        <v>1112</v>
      </c>
      <c r="B542" t="s">
        <v>1113</v>
      </c>
    </row>
    <row r="543" spans="1:2" x14ac:dyDescent="0.35">
      <c r="A543" t="s">
        <v>1114</v>
      </c>
      <c r="B543" t="s">
        <v>1115</v>
      </c>
    </row>
    <row r="544" spans="1:2" x14ac:dyDescent="0.35">
      <c r="A544" t="s">
        <v>1116</v>
      </c>
      <c r="B544" t="s">
        <v>1117</v>
      </c>
    </row>
    <row r="545" spans="1:2" x14ac:dyDescent="0.35">
      <c r="A545" t="s">
        <v>1118</v>
      </c>
      <c r="B545" t="s">
        <v>1119</v>
      </c>
    </row>
    <row r="546" spans="1:2" x14ac:dyDescent="0.35">
      <c r="A546" t="s">
        <v>1120</v>
      </c>
      <c r="B546" t="s">
        <v>1121</v>
      </c>
    </row>
    <row r="547" spans="1:2" x14ac:dyDescent="0.35">
      <c r="A547" t="s">
        <v>1122</v>
      </c>
      <c r="B547" t="s">
        <v>1123</v>
      </c>
    </row>
    <row r="548" spans="1:2" x14ac:dyDescent="0.35">
      <c r="A548" t="s">
        <v>1124</v>
      </c>
      <c r="B548" t="s">
        <v>1125</v>
      </c>
    </row>
    <row r="549" spans="1:2" x14ac:dyDescent="0.35">
      <c r="A549" t="s">
        <v>1126</v>
      </c>
      <c r="B549" t="s">
        <v>1127</v>
      </c>
    </row>
    <row r="550" spans="1:2" x14ac:dyDescent="0.35">
      <c r="A550" t="s">
        <v>1128</v>
      </c>
      <c r="B550" t="s">
        <v>1129</v>
      </c>
    </row>
    <row r="551" spans="1:2" x14ac:dyDescent="0.35">
      <c r="A551" t="s">
        <v>1130</v>
      </c>
      <c r="B551" t="s">
        <v>1131</v>
      </c>
    </row>
    <row r="552" spans="1:2" x14ac:dyDescent="0.35">
      <c r="A552" t="s">
        <v>1132</v>
      </c>
      <c r="B552" t="s">
        <v>1133</v>
      </c>
    </row>
    <row r="553" spans="1:2" x14ac:dyDescent="0.35">
      <c r="A553" t="s">
        <v>1134</v>
      </c>
      <c r="B553" t="s">
        <v>1135</v>
      </c>
    </row>
    <row r="554" spans="1:2" x14ac:dyDescent="0.35">
      <c r="A554" t="s">
        <v>1136</v>
      </c>
      <c r="B554" t="s">
        <v>1137</v>
      </c>
    </row>
    <row r="555" spans="1:2" x14ac:dyDescent="0.35">
      <c r="A555" t="s">
        <v>1138</v>
      </c>
      <c r="B555" t="s">
        <v>1139</v>
      </c>
    </row>
    <row r="556" spans="1:2" x14ac:dyDescent="0.35">
      <c r="A556" t="s">
        <v>1140</v>
      </c>
      <c r="B556" t="s">
        <v>1141</v>
      </c>
    </row>
    <row r="557" spans="1:2" x14ac:dyDescent="0.35">
      <c r="A557" t="s">
        <v>1142</v>
      </c>
      <c r="B557" t="s">
        <v>1143</v>
      </c>
    </row>
    <row r="558" spans="1:2" x14ac:dyDescent="0.35">
      <c r="A558" t="s">
        <v>1144</v>
      </c>
      <c r="B558" t="s">
        <v>1145</v>
      </c>
    </row>
    <row r="559" spans="1:2" x14ac:dyDescent="0.35">
      <c r="A559" t="s">
        <v>1146</v>
      </c>
      <c r="B559" t="s">
        <v>1147</v>
      </c>
    </row>
    <row r="560" spans="1:2" x14ac:dyDescent="0.35">
      <c r="A560" t="s">
        <v>1148</v>
      </c>
      <c r="B560" t="s">
        <v>1149</v>
      </c>
    </row>
    <row r="561" spans="1:2" x14ac:dyDescent="0.35">
      <c r="A561" t="s">
        <v>1150</v>
      </c>
      <c r="B561" t="s">
        <v>1151</v>
      </c>
    </row>
    <row r="562" spans="1:2" x14ac:dyDescent="0.35">
      <c r="A562" t="s">
        <v>1152</v>
      </c>
      <c r="B562" t="s">
        <v>1153</v>
      </c>
    </row>
    <row r="563" spans="1:2" x14ac:dyDescent="0.35">
      <c r="A563" t="s">
        <v>1154</v>
      </c>
      <c r="B563" t="s">
        <v>1155</v>
      </c>
    </row>
    <row r="564" spans="1:2" x14ac:dyDescent="0.35">
      <c r="A564" t="s">
        <v>1156</v>
      </c>
      <c r="B564" t="s">
        <v>1157</v>
      </c>
    </row>
    <row r="565" spans="1:2" x14ac:dyDescent="0.35">
      <c r="A565" t="s">
        <v>1158</v>
      </c>
      <c r="B565" t="s">
        <v>1159</v>
      </c>
    </row>
    <row r="566" spans="1:2" x14ac:dyDescent="0.35">
      <c r="A566" t="s">
        <v>1160</v>
      </c>
      <c r="B566" t="s">
        <v>1161</v>
      </c>
    </row>
    <row r="567" spans="1:2" x14ac:dyDescent="0.35">
      <c r="A567" t="s">
        <v>1162</v>
      </c>
      <c r="B567" t="s">
        <v>1163</v>
      </c>
    </row>
    <row r="568" spans="1:2" x14ac:dyDescent="0.35">
      <c r="A568" t="s">
        <v>1164</v>
      </c>
      <c r="B568" t="s">
        <v>1165</v>
      </c>
    </row>
    <row r="569" spans="1:2" x14ac:dyDescent="0.35">
      <c r="A569" t="s">
        <v>1166</v>
      </c>
      <c r="B569" t="s">
        <v>1167</v>
      </c>
    </row>
    <row r="570" spans="1:2" x14ac:dyDescent="0.35">
      <c r="A570" t="s">
        <v>1168</v>
      </c>
      <c r="B570" t="s">
        <v>1169</v>
      </c>
    </row>
    <row r="571" spans="1:2" x14ac:dyDescent="0.35">
      <c r="A571" t="s">
        <v>1170</v>
      </c>
      <c r="B571" t="s">
        <v>1171</v>
      </c>
    </row>
    <row r="572" spans="1:2" x14ac:dyDescent="0.35">
      <c r="A572" t="s">
        <v>1172</v>
      </c>
      <c r="B572" t="s">
        <v>1173</v>
      </c>
    </row>
    <row r="573" spans="1:2" x14ac:dyDescent="0.35">
      <c r="A573" t="s">
        <v>1174</v>
      </c>
      <c r="B573" t="s">
        <v>1175</v>
      </c>
    </row>
    <row r="574" spans="1:2" x14ac:dyDescent="0.35">
      <c r="A574" t="s">
        <v>1176</v>
      </c>
      <c r="B574" t="s">
        <v>1177</v>
      </c>
    </row>
    <row r="575" spans="1:2" x14ac:dyDescent="0.35">
      <c r="A575" t="s">
        <v>1178</v>
      </c>
      <c r="B575" t="s">
        <v>1179</v>
      </c>
    </row>
    <row r="576" spans="1:2" x14ac:dyDescent="0.35">
      <c r="A576" t="s">
        <v>1180</v>
      </c>
      <c r="B576" t="s">
        <v>1181</v>
      </c>
    </row>
    <row r="577" spans="1:2" x14ac:dyDescent="0.35">
      <c r="A577" t="s">
        <v>1182</v>
      </c>
      <c r="B577" t="s">
        <v>1183</v>
      </c>
    </row>
    <row r="578" spans="1:2" x14ac:dyDescent="0.35">
      <c r="A578" t="s">
        <v>1184</v>
      </c>
      <c r="B578" t="s">
        <v>1185</v>
      </c>
    </row>
    <row r="579" spans="1:2" x14ac:dyDescent="0.35">
      <c r="A579" t="s">
        <v>1186</v>
      </c>
      <c r="B579" t="s">
        <v>1187</v>
      </c>
    </row>
    <row r="580" spans="1:2" x14ac:dyDescent="0.35">
      <c r="A580" t="s">
        <v>1188</v>
      </c>
      <c r="B580" t="s">
        <v>1189</v>
      </c>
    </row>
    <row r="581" spans="1:2" x14ac:dyDescent="0.35">
      <c r="A581" t="s">
        <v>1190</v>
      </c>
      <c r="B581" t="s">
        <v>1191</v>
      </c>
    </row>
    <row r="582" spans="1:2" x14ac:dyDescent="0.35">
      <c r="A582" t="s">
        <v>1192</v>
      </c>
      <c r="B582" t="s">
        <v>1193</v>
      </c>
    </row>
    <row r="583" spans="1:2" x14ac:dyDescent="0.35">
      <c r="A583" t="s">
        <v>1194</v>
      </c>
      <c r="B583" t="s">
        <v>1195</v>
      </c>
    </row>
    <row r="584" spans="1:2" x14ac:dyDescent="0.35">
      <c r="A584" t="s">
        <v>1196</v>
      </c>
      <c r="B584" t="s">
        <v>1197</v>
      </c>
    </row>
    <row r="585" spans="1:2" x14ac:dyDescent="0.35">
      <c r="A585" t="s">
        <v>1198</v>
      </c>
      <c r="B585" t="s">
        <v>1199</v>
      </c>
    </row>
    <row r="586" spans="1:2" x14ac:dyDescent="0.35">
      <c r="A586" t="s">
        <v>1200</v>
      </c>
      <c r="B586" t="s">
        <v>1201</v>
      </c>
    </row>
    <row r="587" spans="1:2" x14ac:dyDescent="0.35">
      <c r="A587" t="s">
        <v>1202</v>
      </c>
      <c r="B587" t="s">
        <v>1203</v>
      </c>
    </row>
    <row r="588" spans="1:2" x14ac:dyDescent="0.35">
      <c r="A588" t="s">
        <v>1204</v>
      </c>
      <c r="B588" t="s">
        <v>1205</v>
      </c>
    </row>
    <row r="589" spans="1:2" x14ac:dyDescent="0.35">
      <c r="A589" t="s">
        <v>1206</v>
      </c>
      <c r="B589" t="s">
        <v>1207</v>
      </c>
    </row>
    <row r="590" spans="1:2" x14ac:dyDescent="0.35">
      <c r="A590" t="s">
        <v>1208</v>
      </c>
      <c r="B590" t="s">
        <v>1209</v>
      </c>
    </row>
    <row r="591" spans="1:2" x14ac:dyDescent="0.35">
      <c r="A591" t="s">
        <v>1210</v>
      </c>
      <c r="B591" t="s">
        <v>1211</v>
      </c>
    </row>
    <row r="592" spans="1:2" x14ac:dyDescent="0.35">
      <c r="A592" t="s">
        <v>1212</v>
      </c>
      <c r="B592" t="s">
        <v>1213</v>
      </c>
    </row>
    <row r="593" spans="1:2" x14ac:dyDescent="0.35">
      <c r="A593" t="s">
        <v>1214</v>
      </c>
      <c r="B593" t="s">
        <v>1215</v>
      </c>
    </row>
    <row r="594" spans="1:2" x14ac:dyDescent="0.35">
      <c r="A594" t="s">
        <v>1216</v>
      </c>
      <c r="B594" t="s">
        <v>1217</v>
      </c>
    </row>
    <row r="595" spans="1:2" x14ac:dyDescent="0.35">
      <c r="A595" t="s">
        <v>1218</v>
      </c>
      <c r="B595" t="s">
        <v>1219</v>
      </c>
    </row>
    <row r="596" spans="1:2" x14ac:dyDescent="0.35">
      <c r="A596" t="s">
        <v>1220</v>
      </c>
      <c r="B596" t="s">
        <v>1221</v>
      </c>
    </row>
    <row r="597" spans="1:2" x14ac:dyDescent="0.35">
      <c r="A597" t="s">
        <v>1222</v>
      </c>
      <c r="B597" t="s">
        <v>1223</v>
      </c>
    </row>
    <row r="598" spans="1:2" x14ac:dyDescent="0.35">
      <c r="A598" t="s">
        <v>1224</v>
      </c>
      <c r="B598" t="s">
        <v>1225</v>
      </c>
    </row>
    <row r="599" spans="1:2" x14ac:dyDescent="0.35">
      <c r="A599" t="s">
        <v>1226</v>
      </c>
      <c r="B599" t="s">
        <v>1227</v>
      </c>
    </row>
    <row r="600" spans="1:2" x14ac:dyDescent="0.35">
      <c r="A600" t="s">
        <v>1228</v>
      </c>
      <c r="B600" t="s">
        <v>1229</v>
      </c>
    </row>
    <row r="601" spans="1:2" x14ac:dyDescent="0.35">
      <c r="A601" t="s">
        <v>1230</v>
      </c>
      <c r="B601" t="s">
        <v>1231</v>
      </c>
    </row>
    <row r="602" spans="1:2" x14ac:dyDescent="0.35">
      <c r="A602" t="s">
        <v>1232</v>
      </c>
      <c r="B602" t="s">
        <v>1233</v>
      </c>
    </row>
    <row r="603" spans="1:2" x14ac:dyDescent="0.35">
      <c r="A603" t="s">
        <v>1234</v>
      </c>
      <c r="B603" t="s">
        <v>1235</v>
      </c>
    </row>
    <row r="604" spans="1:2" x14ac:dyDescent="0.35">
      <c r="A604" t="s">
        <v>1236</v>
      </c>
      <c r="B604" t="s">
        <v>1237</v>
      </c>
    </row>
    <row r="605" spans="1:2" x14ac:dyDescent="0.35">
      <c r="A605" t="s">
        <v>1238</v>
      </c>
      <c r="B605" t="s">
        <v>1239</v>
      </c>
    </row>
    <row r="606" spans="1:2" x14ac:dyDescent="0.35">
      <c r="A606" t="s">
        <v>1240</v>
      </c>
      <c r="B606" t="s">
        <v>1241</v>
      </c>
    </row>
    <row r="607" spans="1:2" x14ac:dyDescent="0.35">
      <c r="A607" t="s">
        <v>1242</v>
      </c>
      <c r="B607" t="s">
        <v>1243</v>
      </c>
    </row>
    <row r="608" spans="1:2" x14ac:dyDescent="0.35">
      <c r="A608" t="s">
        <v>1244</v>
      </c>
      <c r="B608" t="s">
        <v>1245</v>
      </c>
    </row>
    <row r="609" spans="1:2" x14ac:dyDescent="0.35">
      <c r="A609" t="s">
        <v>1246</v>
      </c>
      <c r="B609" t="s">
        <v>1247</v>
      </c>
    </row>
    <row r="610" spans="1:2" x14ac:dyDescent="0.35">
      <c r="A610" t="s">
        <v>1248</v>
      </c>
      <c r="B610" t="s">
        <v>1249</v>
      </c>
    </row>
    <row r="611" spans="1:2" x14ac:dyDescent="0.35">
      <c r="A611" t="s">
        <v>1250</v>
      </c>
      <c r="B611" t="s">
        <v>1251</v>
      </c>
    </row>
    <row r="612" spans="1:2" x14ac:dyDescent="0.35">
      <c r="A612" t="s">
        <v>1252</v>
      </c>
      <c r="B612" t="s">
        <v>1253</v>
      </c>
    </row>
    <row r="613" spans="1:2" x14ac:dyDescent="0.35">
      <c r="A613" t="s">
        <v>1254</v>
      </c>
      <c r="B613" t="s">
        <v>1255</v>
      </c>
    </row>
    <row r="614" spans="1:2" x14ac:dyDescent="0.35">
      <c r="A614" t="s">
        <v>1256</v>
      </c>
      <c r="B614" t="s">
        <v>1257</v>
      </c>
    </row>
    <row r="615" spans="1:2" x14ac:dyDescent="0.35">
      <c r="A615" t="s">
        <v>1258</v>
      </c>
      <c r="B615" t="s">
        <v>1259</v>
      </c>
    </row>
    <row r="616" spans="1:2" x14ac:dyDescent="0.35">
      <c r="A616" t="s">
        <v>1260</v>
      </c>
      <c r="B616" t="s">
        <v>1261</v>
      </c>
    </row>
    <row r="617" spans="1:2" x14ac:dyDescent="0.35">
      <c r="A617" t="s">
        <v>1262</v>
      </c>
      <c r="B617" t="s">
        <v>1263</v>
      </c>
    </row>
    <row r="618" spans="1:2" x14ac:dyDescent="0.35">
      <c r="A618" t="s">
        <v>1264</v>
      </c>
      <c r="B618" t="s">
        <v>1265</v>
      </c>
    </row>
    <row r="619" spans="1:2" x14ac:dyDescent="0.35">
      <c r="A619" t="s">
        <v>1266</v>
      </c>
      <c r="B619" t="s">
        <v>1267</v>
      </c>
    </row>
    <row r="620" spans="1:2" x14ac:dyDescent="0.35">
      <c r="A620" t="s">
        <v>1268</v>
      </c>
      <c r="B620" t="s">
        <v>1269</v>
      </c>
    </row>
    <row r="621" spans="1:2" x14ac:dyDescent="0.35">
      <c r="A621" t="s">
        <v>1270</v>
      </c>
      <c r="B621" t="s">
        <v>1271</v>
      </c>
    </row>
    <row r="622" spans="1:2" x14ac:dyDescent="0.35">
      <c r="A622" t="s">
        <v>1272</v>
      </c>
      <c r="B622" t="s">
        <v>1273</v>
      </c>
    </row>
    <row r="623" spans="1:2" x14ac:dyDescent="0.35">
      <c r="A623" t="s">
        <v>1274</v>
      </c>
      <c r="B623" t="s">
        <v>1275</v>
      </c>
    </row>
    <row r="624" spans="1:2" x14ac:dyDescent="0.35">
      <c r="A624" t="s">
        <v>1276</v>
      </c>
      <c r="B624" t="s">
        <v>1277</v>
      </c>
    </row>
    <row r="625" spans="1:2" x14ac:dyDescent="0.35">
      <c r="A625" t="s">
        <v>1278</v>
      </c>
      <c r="B625" t="s">
        <v>1279</v>
      </c>
    </row>
    <row r="626" spans="1:2" x14ac:dyDescent="0.35">
      <c r="A626" t="s">
        <v>1280</v>
      </c>
      <c r="B626" t="s">
        <v>1281</v>
      </c>
    </row>
    <row r="627" spans="1:2" x14ac:dyDescent="0.35">
      <c r="A627" t="s">
        <v>1282</v>
      </c>
      <c r="B627" t="s">
        <v>1283</v>
      </c>
    </row>
    <row r="628" spans="1:2" x14ac:dyDescent="0.35">
      <c r="A628" t="s">
        <v>1284</v>
      </c>
      <c r="B628" t="s">
        <v>1285</v>
      </c>
    </row>
    <row r="629" spans="1:2" x14ac:dyDescent="0.35">
      <c r="A629" t="s">
        <v>1286</v>
      </c>
      <c r="B629" t="s">
        <v>1287</v>
      </c>
    </row>
    <row r="630" spans="1:2" x14ac:dyDescent="0.35">
      <c r="A630" t="s">
        <v>1288</v>
      </c>
      <c r="B630" t="s">
        <v>1289</v>
      </c>
    </row>
    <row r="631" spans="1:2" x14ac:dyDescent="0.35">
      <c r="A631" t="s">
        <v>1290</v>
      </c>
      <c r="B631" t="s">
        <v>1291</v>
      </c>
    </row>
    <row r="632" spans="1:2" x14ac:dyDescent="0.35">
      <c r="A632" t="s">
        <v>1292</v>
      </c>
      <c r="B632" t="s">
        <v>1293</v>
      </c>
    </row>
    <row r="633" spans="1:2" x14ac:dyDescent="0.35">
      <c r="A633" t="s">
        <v>1294</v>
      </c>
      <c r="B633" t="s">
        <v>1295</v>
      </c>
    </row>
    <row r="634" spans="1:2" x14ac:dyDescent="0.35">
      <c r="A634" t="s">
        <v>1296</v>
      </c>
      <c r="B634" t="s">
        <v>1297</v>
      </c>
    </row>
    <row r="635" spans="1:2" x14ac:dyDescent="0.35">
      <c r="A635" t="s">
        <v>1298</v>
      </c>
      <c r="B635" t="s">
        <v>1299</v>
      </c>
    </row>
    <row r="636" spans="1:2" x14ac:dyDescent="0.35">
      <c r="A636" t="s">
        <v>1300</v>
      </c>
      <c r="B636" t="s">
        <v>1301</v>
      </c>
    </row>
    <row r="637" spans="1:2" x14ac:dyDescent="0.35">
      <c r="A637" t="s">
        <v>1302</v>
      </c>
      <c r="B637" t="s">
        <v>1303</v>
      </c>
    </row>
    <row r="638" spans="1:2" x14ac:dyDescent="0.35">
      <c r="A638" t="s">
        <v>1304</v>
      </c>
      <c r="B638" t="s">
        <v>1305</v>
      </c>
    </row>
    <row r="639" spans="1:2" x14ac:dyDescent="0.35">
      <c r="A639" t="s">
        <v>1306</v>
      </c>
      <c r="B639" t="s">
        <v>1307</v>
      </c>
    </row>
    <row r="640" spans="1:2" x14ac:dyDescent="0.35">
      <c r="A640" t="s">
        <v>1308</v>
      </c>
      <c r="B640" t="s">
        <v>1309</v>
      </c>
    </row>
    <row r="641" spans="1:2" x14ac:dyDescent="0.35">
      <c r="A641" t="s">
        <v>1310</v>
      </c>
      <c r="B641" t="s">
        <v>1311</v>
      </c>
    </row>
    <row r="642" spans="1:2" x14ac:dyDescent="0.35">
      <c r="A642" t="s">
        <v>1312</v>
      </c>
      <c r="B642" t="s">
        <v>1313</v>
      </c>
    </row>
    <row r="643" spans="1:2" x14ac:dyDescent="0.35">
      <c r="A643" t="s">
        <v>1314</v>
      </c>
      <c r="B643" t="s">
        <v>1315</v>
      </c>
    </row>
    <row r="644" spans="1:2" x14ac:dyDescent="0.35">
      <c r="A644" t="s">
        <v>1316</v>
      </c>
      <c r="B644" t="s">
        <v>1317</v>
      </c>
    </row>
    <row r="645" spans="1:2" x14ac:dyDescent="0.35">
      <c r="A645" t="s">
        <v>1318</v>
      </c>
      <c r="B645" t="s">
        <v>1319</v>
      </c>
    </row>
    <row r="646" spans="1:2" x14ac:dyDescent="0.35">
      <c r="A646" t="s">
        <v>1320</v>
      </c>
      <c r="B646" t="s">
        <v>1321</v>
      </c>
    </row>
    <row r="647" spans="1:2" x14ac:dyDescent="0.35">
      <c r="A647" t="s">
        <v>1322</v>
      </c>
      <c r="B647" t="s">
        <v>1323</v>
      </c>
    </row>
    <row r="648" spans="1:2" x14ac:dyDescent="0.35">
      <c r="A648" t="s">
        <v>1324</v>
      </c>
      <c r="B648" t="s">
        <v>1325</v>
      </c>
    </row>
    <row r="649" spans="1:2" x14ac:dyDescent="0.35">
      <c r="A649" t="s">
        <v>1326</v>
      </c>
      <c r="B649" t="s">
        <v>1327</v>
      </c>
    </row>
    <row r="650" spans="1:2" x14ac:dyDescent="0.35">
      <c r="A650" t="s">
        <v>1328</v>
      </c>
      <c r="B650" t="s">
        <v>1329</v>
      </c>
    </row>
    <row r="651" spans="1:2" x14ac:dyDescent="0.35">
      <c r="A651" t="s">
        <v>1330</v>
      </c>
      <c r="B651" t="s">
        <v>1331</v>
      </c>
    </row>
    <row r="652" spans="1:2" x14ac:dyDescent="0.35">
      <c r="A652" t="s">
        <v>1332</v>
      </c>
      <c r="B652" t="s">
        <v>1333</v>
      </c>
    </row>
    <row r="653" spans="1:2" x14ac:dyDescent="0.35">
      <c r="A653" t="s">
        <v>1334</v>
      </c>
      <c r="B653" t="s">
        <v>1335</v>
      </c>
    </row>
    <row r="654" spans="1:2" x14ac:dyDescent="0.35">
      <c r="A654" t="s">
        <v>1336</v>
      </c>
      <c r="B654" t="s">
        <v>1337</v>
      </c>
    </row>
    <row r="655" spans="1:2" x14ac:dyDescent="0.35">
      <c r="A655" t="s">
        <v>1338</v>
      </c>
      <c r="B655" t="s">
        <v>1339</v>
      </c>
    </row>
    <row r="656" spans="1:2" x14ac:dyDescent="0.35">
      <c r="A656" t="s">
        <v>1340</v>
      </c>
      <c r="B656" t="s">
        <v>1341</v>
      </c>
    </row>
    <row r="657" spans="1:2" x14ac:dyDescent="0.35">
      <c r="A657" t="s">
        <v>1342</v>
      </c>
      <c r="B657" t="s">
        <v>1343</v>
      </c>
    </row>
    <row r="658" spans="1:2" x14ac:dyDescent="0.35">
      <c r="A658" t="s">
        <v>1344</v>
      </c>
      <c r="B658" t="s">
        <v>1345</v>
      </c>
    </row>
    <row r="659" spans="1:2" x14ac:dyDescent="0.35">
      <c r="A659" t="s">
        <v>1346</v>
      </c>
      <c r="B659" t="s">
        <v>1347</v>
      </c>
    </row>
    <row r="660" spans="1:2" x14ac:dyDescent="0.35">
      <c r="A660" t="s">
        <v>1348</v>
      </c>
      <c r="B660" t="s">
        <v>1349</v>
      </c>
    </row>
    <row r="661" spans="1:2" x14ac:dyDescent="0.35">
      <c r="A661" t="s">
        <v>1350</v>
      </c>
      <c r="B661" t="s">
        <v>1351</v>
      </c>
    </row>
    <row r="662" spans="1:2" x14ac:dyDescent="0.35">
      <c r="A662" t="s">
        <v>1352</v>
      </c>
      <c r="B662" t="s">
        <v>1353</v>
      </c>
    </row>
    <row r="663" spans="1:2" x14ac:dyDescent="0.35">
      <c r="A663" t="s">
        <v>1354</v>
      </c>
      <c r="B663" t="s">
        <v>1355</v>
      </c>
    </row>
    <row r="664" spans="1:2" x14ac:dyDescent="0.35">
      <c r="A664" t="s">
        <v>1356</v>
      </c>
      <c r="B664" t="s">
        <v>1357</v>
      </c>
    </row>
    <row r="665" spans="1:2" x14ac:dyDescent="0.35">
      <c r="A665" t="s">
        <v>1358</v>
      </c>
      <c r="B665" t="s">
        <v>1359</v>
      </c>
    </row>
    <row r="666" spans="1:2" x14ac:dyDescent="0.35">
      <c r="A666" t="s">
        <v>1360</v>
      </c>
      <c r="B666" t="s">
        <v>1361</v>
      </c>
    </row>
    <row r="667" spans="1:2" x14ac:dyDescent="0.35">
      <c r="A667" t="s">
        <v>1362</v>
      </c>
      <c r="B667" t="s">
        <v>1363</v>
      </c>
    </row>
    <row r="668" spans="1:2" x14ac:dyDescent="0.35">
      <c r="A668" t="s">
        <v>1364</v>
      </c>
      <c r="B668" t="s">
        <v>1365</v>
      </c>
    </row>
    <row r="669" spans="1:2" x14ac:dyDescent="0.35">
      <c r="A669" t="s">
        <v>1366</v>
      </c>
      <c r="B669" t="s">
        <v>1367</v>
      </c>
    </row>
    <row r="670" spans="1:2" x14ac:dyDescent="0.35">
      <c r="A670" t="s">
        <v>1368</v>
      </c>
      <c r="B670" t="s">
        <v>1369</v>
      </c>
    </row>
    <row r="671" spans="1:2" x14ac:dyDescent="0.35">
      <c r="A671" t="s">
        <v>1370</v>
      </c>
      <c r="B671" t="s">
        <v>1371</v>
      </c>
    </row>
    <row r="672" spans="1:2" x14ac:dyDescent="0.35">
      <c r="A672" t="s">
        <v>1372</v>
      </c>
      <c r="B672" t="s">
        <v>1373</v>
      </c>
    </row>
    <row r="673" spans="1:2" x14ac:dyDescent="0.35">
      <c r="A673" t="s">
        <v>1374</v>
      </c>
      <c r="B673" t="s">
        <v>1375</v>
      </c>
    </row>
    <row r="674" spans="1:2" x14ac:dyDescent="0.35">
      <c r="A674" t="s">
        <v>1376</v>
      </c>
      <c r="B674" t="s">
        <v>1377</v>
      </c>
    </row>
    <row r="675" spans="1:2" x14ac:dyDescent="0.35">
      <c r="A675" t="s">
        <v>1378</v>
      </c>
      <c r="B675" t="s">
        <v>1379</v>
      </c>
    </row>
    <row r="676" spans="1:2" x14ac:dyDescent="0.35">
      <c r="A676" t="s">
        <v>1380</v>
      </c>
      <c r="B676" t="s">
        <v>1381</v>
      </c>
    </row>
    <row r="677" spans="1:2" x14ac:dyDescent="0.35">
      <c r="A677" t="s">
        <v>1382</v>
      </c>
      <c r="B677" t="s">
        <v>1383</v>
      </c>
    </row>
    <row r="678" spans="1:2" x14ac:dyDescent="0.35">
      <c r="A678" t="s">
        <v>1384</v>
      </c>
      <c r="B678" t="s">
        <v>1385</v>
      </c>
    </row>
    <row r="679" spans="1:2" x14ac:dyDescent="0.35">
      <c r="A679" t="s">
        <v>1386</v>
      </c>
      <c r="B679" t="s">
        <v>1387</v>
      </c>
    </row>
    <row r="680" spans="1:2" x14ac:dyDescent="0.35">
      <c r="A680" t="s">
        <v>1388</v>
      </c>
      <c r="B680" t="s">
        <v>1389</v>
      </c>
    </row>
    <row r="681" spans="1:2" x14ac:dyDescent="0.35">
      <c r="A681" t="s">
        <v>1390</v>
      </c>
      <c r="B681" t="s">
        <v>1391</v>
      </c>
    </row>
    <row r="682" spans="1:2" x14ac:dyDescent="0.35">
      <c r="A682" t="s">
        <v>1392</v>
      </c>
      <c r="B682" t="s">
        <v>1393</v>
      </c>
    </row>
    <row r="683" spans="1:2" x14ac:dyDescent="0.35">
      <c r="A683" t="s">
        <v>1394</v>
      </c>
      <c r="B683" t="s">
        <v>1395</v>
      </c>
    </row>
    <row r="684" spans="1:2" x14ac:dyDescent="0.35">
      <c r="A684" t="s">
        <v>1396</v>
      </c>
      <c r="B684" t="s">
        <v>1397</v>
      </c>
    </row>
    <row r="685" spans="1:2" x14ac:dyDescent="0.35">
      <c r="A685" t="s">
        <v>1398</v>
      </c>
      <c r="B685" t="s">
        <v>1399</v>
      </c>
    </row>
    <row r="686" spans="1:2" x14ac:dyDescent="0.35">
      <c r="A686" t="s">
        <v>1400</v>
      </c>
      <c r="B686" t="s">
        <v>1401</v>
      </c>
    </row>
    <row r="687" spans="1:2" x14ac:dyDescent="0.35">
      <c r="A687" t="s">
        <v>1402</v>
      </c>
      <c r="B687" t="s">
        <v>1403</v>
      </c>
    </row>
    <row r="688" spans="1:2" x14ac:dyDescent="0.35">
      <c r="A688" t="s">
        <v>1404</v>
      </c>
      <c r="B688" t="s">
        <v>1405</v>
      </c>
    </row>
    <row r="689" spans="1:2" x14ac:dyDescent="0.35">
      <c r="A689" t="s">
        <v>1406</v>
      </c>
      <c r="B689" t="s">
        <v>1407</v>
      </c>
    </row>
    <row r="690" spans="1:2" x14ac:dyDescent="0.35">
      <c r="A690" t="s">
        <v>1408</v>
      </c>
      <c r="B690" t="s">
        <v>1409</v>
      </c>
    </row>
    <row r="691" spans="1:2" x14ac:dyDescent="0.35">
      <c r="A691" t="s">
        <v>1410</v>
      </c>
      <c r="B691" t="s">
        <v>1411</v>
      </c>
    </row>
    <row r="692" spans="1:2" x14ac:dyDescent="0.35">
      <c r="A692" t="s">
        <v>1412</v>
      </c>
      <c r="B692" t="s">
        <v>1413</v>
      </c>
    </row>
    <row r="693" spans="1:2" x14ac:dyDescent="0.35">
      <c r="A693" t="s">
        <v>1414</v>
      </c>
      <c r="B693" t="s">
        <v>1415</v>
      </c>
    </row>
    <row r="694" spans="1:2" x14ac:dyDescent="0.35">
      <c r="A694" t="s">
        <v>1416</v>
      </c>
      <c r="B694" t="s">
        <v>1417</v>
      </c>
    </row>
    <row r="695" spans="1:2" x14ac:dyDescent="0.35">
      <c r="A695" t="s">
        <v>1418</v>
      </c>
      <c r="B695" t="s">
        <v>1419</v>
      </c>
    </row>
    <row r="696" spans="1:2" x14ac:dyDescent="0.35">
      <c r="A696" t="s">
        <v>1420</v>
      </c>
      <c r="B696" t="s">
        <v>1421</v>
      </c>
    </row>
    <row r="697" spans="1:2" x14ac:dyDescent="0.35">
      <c r="A697" t="s">
        <v>1422</v>
      </c>
      <c r="B697" t="s">
        <v>1423</v>
      </c>
    </row>
    <row r="698" spans="1:2" x14ac:dyDescent="0.35">
      <c r="A698" t="s">
        <v>1424</v>
      </c>
      <c r="B698" t="s">
        <v>1425</v>
      </c>
    </row>
    <row r="699" spans="1:2" x14ac:dyDescent="0.35">
      <c r="A699" t="s">
        <v>1426</v>
      </c>
      <c r="B699" t="s">
        <v>1427</v>
      </c>
    </row>
    <row r="700" spans="1:2" x14ac:dyDescent="0.35">
      <c r="A700" t="s">
        <v>1428</v>
      </c>
      <c r="B700" t="s">
        <v>1429</v>
      </c>
    </row>
    <row r="701" spans="1:2" x14ac:dyDescent="0.35">
      <c r="A701" t="s">
        <v>1430</v>
      </c>
      <c r="B701" t="s">
        <v>1431</v>
      </c>
    </row>
    <row r="702" spans="1:2" x14ac:dyDescent="0.35">
      <c r="A702" t="s">
        <v>1432</v>
      </c>
      <c r="B702" t="s">
        <v>1433</v>
      </c>
    </row>
    <row r="703" spans="1:2" x14ac:dyDescent="0.35">
      <c r="A703" t="s">
        <v>1434</v>
      </c>
      <c r="B703" t="s">
        <v>1435</v>
      </c>
    </row>
    <row r="704" spans="1:2" x14ac:dyDescent="0.35">
      <c r="A704" t="s">
        <v>1436</v>
      </c>
      <c r="B704" t="s">
        <v>1437</v>
      </c>
    </row>
    <row r="705" spans="1:2" x14ac:dyDescent="0.35">
      <c r="A705" t="s">
        <v>1438</v>
      </c>
      <c r="B705" t="s">
        <v>1439</v>
      </c>
    </row>
    <row r="706" spans="1:2" x14ac:dyDescent="0.35">
      <c r="A706" t="s">
        <v>1440</v>
      </c>
      <c r="B706" t="s">
        <v>1441</v>
      </c>
    </row>
    <row r="707" spans="1:2" x14ac:dyDescent="0.35">
      <c r="A707" t="s">
        <v>1442</v>
      </c>
      <c r="B707" t="s">
        <v>1443</v>
      </c>
    </row>
    <row r="708" spans="1:2" x14ac:dyDescent="0.35">
      <c r="A708" t="s">
        <v>1444</v>
      </c>
      <c r="B708" t="s">
        <v>1445</v>
      </c>
    </row>
    <row r="709" spans="1:2" x14ac:dyDescent="0.35">
      <c r="A709" t="s">
        <v>1446</v>
      </c>
      <c r="B709" t="s">
        <v>1447</v>
      </c>
    </row>
    <row r="710" spans="1:2" x14ac:dyDescent="0.35">
      <c r="A710" t="s">
        <v>1448</v>
      </c>
      <c r="B710" t="s">
        <v>1449</v>
      </c>
    </row>
    <row r="711" spans="1:2" x14ac:dyDescent="0.35">
      <c r="A711" t="s">
        <v>1450</v>
      </c>
      <c r="B711" t="s">
        <v>1451</v>
      </c>
    </row>
    <row r="712" spans="1:2" x14ac:dyDescent="0.35">
      <c r="A712" t="s">
        <v>1452</v>
      </c>
      <c r="B712" t="s">
        <v>1453</v>
      </c>
    </row>
    <row r="713" spans="1:2" x14ac:dyDescent="0.35">
      <c r="A713" t="s">
        <v>1454</v>
      </c>
      <c r="B713" t="s">
        <v>1455</v>
      </c>
    </row>
    <row r="714" spans="1:2" x14ac:dyDescent="0.35">
      <c r="A714" t="s">
        <v>1456</v>
      </c>
      <c r="B714" t="s">
        <v>1457</v>
      </c>
    </row>
    <row r="715" spans="1:2" x14ac:dyDescent="0.35">
      <c r="A715" t="s">
        <v>1458</v>
      </c>
      <c r="B715" t="s">
        <v>1459</v>
      </c>
    </row>
    <row r="716" spans="1:2" x14ac:dyDescent="0.35">
      <c r="A716" t="s">
        <v>1460</v>
      </c>
      <c r="B716" t="s">
        <v>1461</v>
      </c>
    </row>
    <row r="717" spans="1:2" x14ac:dyDescent="0.35">
      <c r="A717" t="s">
        <v>1462</v>
      </c>
      <c r="B717" t="s">
        <v>1463</v>
      </c>
    </row>
    <row r="718" spans="1:2" x14ac:dyDescent="0.35">
      <c r="A718" t="s">
        <v>1464</v>
      </c>
      <c r="B718" t="s">
        <v>1465</v>
      </c>
    </row>
    <row r="719" spans="1:2" x14ac:dyDescent="0.35">
      <c r="A719" t="s">
        <v>1466</v>
      </c>
      <c r="B719" t="s">
        <v>1467</v>
      </c>
    </row>
    <row r="720" spans="1:2" x14ac:dyDescent="0.35">
      <c r="A720" t="s">
        <v>1468</v>
      </c>
      <c r="B720" t="s">
        <v>1469</v>
      </c>
    </row>
    <row r="721" spans="1:2" x14ac:dyDescent="0.35">
      <c r="A721" t="s">
        <v>1470</v>
      </c>
      <c r="B721" t="s">
        <v>1471</v>
      </c>
    </row>
    <row r="722" spans="1:2" x14ac:dyDescent="0.35">
      <c r="A722" t="s">
        <v>1472</v>
      </c>
      <c r="B722" t="s">
        <v>1473</v>
      </c>
    </row>
    <row r="723" spans="1:2" x14ac:dyDescent="0.35">
      <c r="A723" t="s">
        <v>1474</v>
      </c>
      <c r="B723" t="s">
        <v>1475</v>
      </c>
    </row>
    <row r="724" spans="1:2" x14ac:dyDescent="0.35">
      <c r="A724" t="s">
        <v>1476</v>
      </c>
      <c r="B724" t="s">
        <v>1477</v>
      </c>
    </row>
    <row r="725" spans="1:2" x14ac:dyDescent="0.35">
      <c r="A725" t="s">
        <v>1478</v>
      </c>
      <c r="B725" t="s">
        <v>1479</v>
      </c>
    </row>
    <row r="726" spans="1:2" x14ac:dyDescent="0.35">
      <c r="A726" t="s">
        <v>1480</v>
      </c>
      <c r="B726" t="s">
        <v>1481</v>
      </c>
    </row>
    <row r="727" spans="1:2" x14ac:dyDescent="0.35">
      <c r="A727" t="s">
        <v>1482</v>
      </c>
      <c r="B727" t="s">
        <v>1483</v>
      </c>
    </row>
    <row r="728" spans="1:2" x14ac:dyDescent="0.35">
      <c r="A728" t="s">
        <v>1484</v>
      </c>
      <c r="B728" t="s">
        <v>1485</v>
      </c>
    </row>
    <row r="729" spans="1:2" x14ac:dyDescent="0.35">
      <c r="A729" t="s">
        <v>1486</v>
      </c>
      <c r="B729" t="s">
        <v>1487</v>
      </c>
    </row>
    <row r="730" spans="1:2" x14ac:dyDescent="0.35">
      <c r="A730" t="s">
        <v>1488</v>
      </c>
      <c r="B730" t="s">
        <v>1489</v>
      </c>
    </row>
    <row r="731" spans="1:2" x14ac:dyDescent="0.35">
      <c r="A731" t="s">
        <v>1490</v>
      </c>
      <c r="B731" t="s">
        <v>1491</v>
      </c>
    </row>
    <row r="732" spans="1:2" x14ac:dyDescent="0.35">
      <c r="A732" t="s">
        <v>1492</v>
      </c>
      <c r="B732" t="s">
        <v>1493</v>
      </c>
    </row>
    <row r="733" spans="1:2" x14ac:dyDescent="0.35">
      <c r="A733" t="s">
        <v>1494</v>
      </c>
      <c r="B733" t="s">
        <v>1495</v>
      </c>
    </row>
    <row r="734" spans="1:2" x14ac:dyDescent="0.35">
      <c r="A734" t="s">
        <v>1496</v>
      </c>
      <c r="B734" t="s">
        <v>1497</v>
      </c>
    </row>
    <row r="735" spans="1:2" x14ac:dyDescent="0.35">
      <c r="A735" t="s">
        <v>1498</v>
      </c>
      <c r="B735" t="s">
        <v>1499</v>
      </c>
    </row>
    <row r="736" spans="1:2" x14ac:dyDescent="0.35">
      <c r="A736" t="s">
        <v>1500</v>
      </c>
      <c r="B736" t="s">
        <v>1501</v>
      </c>
    </row>
    <row r="737" spans="1:2" x14ac:dyDescent="0.35">
      <c r="A737" t="s">
        <v>1502</v>
      </c>
      <c r="B737" t="s">
        <v>1503</v>
      </c>
    </row>
    <row r="738" spans="1:2" x14ac:dyDescent="0.35">
      <c r="A738" t="s">
        <v>1504</v>
      </c>
      <c r="B738" t="s">
        <v>1505</v>
      </c>
    </row>
    <row r="739" spans="1:2" x14ac:dyDescent="0.35">
      <c r="A739" t="s">
        <v>1506</v>
      </c>
      <c r="B739" t="s">
        <v>1507</v>
      </c>
    </row>
    <row r="740" spans="1:2" x14ac:dyDescent="0.35">
      <c r="A740" t="s">
        <v>1508</v>
      </c>
      <c r="B740" t="s">
        <v>1509</v>
      </c>
    </row>
    <row r="741" spans="1:2" x14ac:dyDescent="0.35">
      <c r="A741" t="s">
        <v>1510</v>
      </c>
      <c r="B741" t="s">
        <v>1511</v>
      </c>
    </row>
    <row r="742" spans="1:2" x14ac:dyDescent="0.35">
      <c r="A742" t="s">
        <v>1512</v>
      </c>
      <c r="B742" t="s">
        <v>1513</v>
      </c>
    </row>
    <row r="743" spans="1:2" x14ac:dyDescent="0.35">
      <c r="A743" t="s">
        <v>1514</v>
      </c>
      <c r="B743" t="s">
        <v>1515</v>
      </c>
    </row>
    <row r="744" spans="1:2" x14ac:dyDescent="0.35">
      <c r="A744" t="s">
        <v>1516</v>
      </c>
      <c r="B744" t="s">
        <v>1517</v>
      </c>
    </row>
    <row r="745" spans="1:2" x14ac:dyDescent="0.35">
      <c r="A745" t="s">
        <v>1518</v>
      </c>
      <c r="B745" t="s">
        <v>1519</v>
      </c>
    </row>
    <row r="746" spans="1:2" x14ac:dyDescent="0.35">
      <c r="A746" t="s">
        <v>1520</v>
      </c>
      <c r="B746" t="s">
        <v>1521</v>
      </c>
    </row>
    <row r="747" spans="1:2" x14ac:dyDescent="0.35">
      <c r="A747" t="s">
        <v>1522</v>
      </c>
      <c r="B747" t="s">
        <v>1523</v>
      </c>
    </row>
    <row r="748" spans="1:2" x14ac:dyDescent="0.35">
      <c r="A748" t="s">
        <v>1524</v>
      </c>
      <c r="B748" t="s">
        <v>1525</v>
      </c>
    </row>
    <row r="749" spans="1:2" x14ac:dyDescent="0.35">
      <c r="A749" t="s">
        <v>1526</v>
      </c>
      <c r="B749" t="s">
        <v>1527</v>
      </c>
    </row>
    <row r="750" spans="1:2" x14ac:dyDescent="0.35">
      <c r="A750" t="s">
        <v>1528</v>
      </c>
      <c r="B750" t="s">
        <v>1529</v>
      </c>
    </row>
    <row r="751" spans="1:2" x14ac:dyDescent="0.35">
      <c r="A751" t="s">
        <v>1530</v>
      </c>
      <c r="B751" t="s">
        <v>1531</v>
      </c>
    </row>
    <row r="752" spans="1:2" x14ac:dyDescent="0.35">
      <c r="A752" t="s">
        <v>1532</v>
      </c>
      <c r="B752" t="s">
        <v>1533</v>
      </c>
    </row>
    <row r="753" spans="1:2" x14ac:dyDescent="0.35">
      <c r="A753" t="s">
        <v>1534</v>
      </c>
      <c r="B753" t="s">
        <v>1535</v>
      </c>
    </row>
    <row r="754" spans="1:2" x14ac:dyDescent="0.35">
      <c r="A754" t="s">
        <v>1536</v>
      </c>
      <c r="B754" t="s">
        <v>1537</v>
      </c>
    </row>
    <row r="755" spans="1:2" x14ac:dyDescent="0.35">
      <c r="A755" t="s">
        <v>1538</v>
      </c>
      <c r="B755" t="s">
        <v>1539</v>
      </c>
    </row>
    <row r="756" spans="1:2" x14ac:dyDescent="0.35">
      <c r="A756" t="s">
        <v>1540</v>
      </c>
      <c r="B756" t="s">
        <v>1541</v>
      </c>
    </row>
    <row r="757" spans="1:2" x14ac:dyDescent="0.35">
      <c r="A757" t="s">
        <v>1542</v>
      </c>
      <c r="B757" t="s">
        <v>1543</v>
      </c>
    </row>
    <row r="758" spans="1:2" x14ac:dyDescent="0.35">
      <c r="A758" t="s">
        <v>1544</v>
      </c>
      <c r="B758" t="s">
        <v>1545</v>
      </c>
    </row>
    <row r="759" spans="1:2" x14ac:dyDescent="0.35">
      <c r="A759" t="s">
        <v>1546</v>
      </c>
      <c r="B759" t="s">
        <v>1547</v>
      </c>
    </row>
    <row r="760" spans="1:2" x14ac:dyDescent="0.35">
      <c r="A760" t="s">
        <v>1548</v>
      </c>
      <c r="B760" t="s">
        <v>1549</v>
      </c>
    </row>
    <row r="761" spans="1:2" x14ac:dyDescent="0.35">
      <c r="A761" t="s">
        <v>1550</v>
      </c>
      <c r="B761" t="s">
        <v>1551</v>
      </c>
    </row>
    <row r="762" spans="1:2" x14ac:dyDescent="0.35">
      <c r="A762" t="s">
        <v>1552</v>
      </c>
      <c r="B762" t="s">
        <v>1553</v>
      </c>
    </row>
    <row r="763" spans="1:2" x14ac:dyDescent="0.35">
      <c r="A763" t="s">
        <v>1554</v>
      </c>
      <c r="B763" t="s">
        <v>1555</v>
      </c>
    </row>
    <row r="764" spans="1:2" x14ac:dyDescent="0.35">
      <c r="A764" t="s">
        <v>1556</v>
      </c>
      <c r="B764" t="s">
        <v>1557</v>
      </c>
    </row>
    <row r="765" spans="1:2" x14ac:dyDescent="0.35">
      <c r="A765" t="s">
        <v>1558</v>
      </c>
      <c r="B765" t="s">
        <v>1559</v>
      </c>
    </row>
    <row r="766" spans="1:2" x14ac:dyDescent="0.35">
      <c r="A766" t="s">
        <v>1560</v>
      </c>
      <c r="B766" t="s">
        <v>1561</v>
      </c>
    </row>
    <row r="767" spans="1:2" x14ac:dyDescent="0.35">
      <c r="A767" t="s">
        <v>1562</v>
      </c>
      <c r="B767" t="s">
        <v>1563</v>
      </c>
    </row>
    <row r="768" spans="1:2" x14ac:dyDescent="0.35">
      <c r="A768" t="s">
        <v>1564</v>
      </c>
      <c r="B768" t="s">
        <v>1565</v>
      </c>
    </row>
    <row r="769" spans="1:2" x14ac:dyDescent="0.35">
      <c r="A769" t="s">
        <v>1566</v>
      </c>
      <c r="B769" t="s">
        <v>1567</v>
      </c>
    </row>
    <row r="770" spans="1:2" x14ac:dyDescent="0.35">
      <c r="A770" t="s">
        <v>1568</v>
      </c>
      <c r="B770" t="s">
        <v>1569</v>
      </c>
    </row>
    <row r="771" spans="1:2" x14ac:dyDescent="0.35">
      <c r="A771" t="s">
        <v>1570</v>
      </c>
      <c r="B771" t="s">
        <v>1571</v>
      </c>
    </row>
    <row r="772" spans="1:2" x14ac:dyDescent="0.35">
      <c r="A772" t="s">
        <v>1572</v>
      </c>
      <c r="B772" t="s">
        <v>1573</v>
      </c>
    </row>
    <row r="773" spans="1:2" x14ac:dyDescent="0.35">
      <c r="A773" t="s">
        <v>1574</v>
      </c>
      <c r="B773" t="s">
        <v>1575</v>
      </c>
    </row>
    <row r="774" spans="1:2" x14ac:dyDescent="0.35">
      <c r="A774" t="s">
        <v>1576</v>
      </c>
      <c r="B774" t="s">
        <v>1577</v>
      </c>
    </row>
    <row r="775" spans="1:2" x14ac:dyDescent="0.35">
      <c r="A775" t="s">
        <v>1578</v>
      </c>
      <c r="B775" t="s">
        <v>1579</v>
      </c>
    </row>
    <row r="776" spans="1:2" x14ac:dyDescent="0.35">
      <c r="A776" t="s">
        <v>1580</v>
      </c>
      <c r="B776" t="s">
        <v>1581</v>
      </c>
    </row>
    <row r="777" spans="1:2" x14ac:dyDescent="0.35">
      <c r="A777" t="s">
        <v>1582</v>
      </c>
      <c r="B777" t="s">
        <v>1583</v>
      </c>
    </row>
    <row r="778" spans="1:2" x14ac:dyDescent="0.35">
      <c r="A778" t="s">
        <v>1584</v>
      </c>
      <c r="B778" t="s">
        <v>1585</v>
      </c>
    </row>
    <row r="779" spans="1:2" x14ac:dyDescent="0.35">
      <c r="A779" t="s">
        <v>1586</v>
      </c>
      <c r="B779" t="s">
        <v>1587</v>
      </c>
    </row>
    <row r="780" spans="1:2" x14ac:dyDescent="0.35">
      <c r="A780" t="s">
        <v>1588</v>
      </c>
      <c r="B780" t="s">
        <v>1589</v>
      </c>
    </row>
    <row r="781" spans="1:2" x14ac:dyDescent="0.35">
      <c r="A781" t="s">
        <v>1590</v>
      </c>
      <c r="B781" t="s">
        <v>1591</v>
      </c>
    </row>
    <row r="782" spans="1:2" x14ac:dyDescent="0.35">
      <c r="A782" t="s">
        <v>1592</v>
      </c>
      <c r="B782" t="s">
        <v>1593</v>
      </c>
    </row>
    <row r="783" spans="1:2" x14ac:dyDescent="0.35">
      <c r="A783" t="s">
        <v>1594</v>
      </c>
      <c r="B783" t="s">
        <v>1595</v>
      </c>
    </row>
    <row r="784" spans="1:2" x14ac:dyDescent="0.35">
      <c r="A784" t="s">
        <v>1596</v>
      </c>
      <c r="B784" t="s">
        <v>1597</v>
      </c>
    </row>
    <row r="785" spans="1:2" x14ac:dyDescent="0.35">
      <c r="A785" t="s">
        <v>1598</v>
      </c>
      <c r="B785" t="s">
        <v>1599</v>
      </c>
    </row>
    <row r="786" spans="1:2" x14ac:dyDescent="0.35">
      <c r="A786" t="s">
        <v>1600</v>
      </c>
      <c r="B786" t="s">
        <v>1601</v>
      </c>
    </row>
    <row r="787" spans="1:2" x14ac:dyDescent="0.35">
      <c r="A787" t="s">
        <v>1602</v>
      </c>
      <c r="B787" t="s">
        <v>1603</v>
      </c>
    </row>
    <row r="788" spans="1:2" x14ac:dyDescent="0.35">
      <c r="A788" t="s">
        <v>1604</v>
      </c>
      <c r="B788" t="s">
        <v>1605</v>
      </c>
    </row>
    <row r="789" spans="1:2" x14ac:dyDescent="0.35">
      <c r="A789" t="s">
        <v>1606</v>
      </c>
      <c r="B789" t="s">
        <v>1607</v>
      </c>
    </row>
    <row r="790" spans="1:2" x14ac:dyDescent="0.35">
      <c r="A790" t="s">
        <v>1608</v>
      </c>
      <c r="B790" t="s">
        <v>1609</v>
      </c>
    </row>
    <row r="791" spans="1:2" x14ac:dyDescent="0.35">
      <c r="A791" t="s">
        <v>1610</v>
      </c>
      <c r="B791" t="s">
        <v>1611</v>
      </c>
    </row>
    <row r="792" spans="1:2" x14ac:dyDescent="0.35">
      <c r="A792" t="s">
        <v>1612</v>
      </c>
      <c r="B792" t="s">
        <v>1613</v>
      </c>
    </row>
    <row r="793" spans="1:2" x14ac:dyDescent="0.35">
      <c r="A793" t="s">
        <v>1614</v>
      </c>
      <c r="B793" t="s">
        <v>1615</v>
      </c>
    </row>
    <row r="794" spans="1:2" x14ac:dyDescent="0.35">
      <c r="A794" t="s">
        <v>1616</v>
      </c>
      <c r="B794" t="s">
        <v>1617</v>
      </c>
    </row>
    <row r="795" spans="1:2" x14ac:dyDescent="0.35">
      <c r="A795" t="s">
        <v>1618</v>
      </c>
      <c r="B795" t="s">
        <v>1619</v>
      </c>
    </row>
    <row r="796" spans="1:2" x14ac:dyDescent="0.35">
      <c r="A796" t="s">
        <v>1620</v>
      </c>
      <c r="B796" t="s">
        <v>1621</v>
      </c>
    </row>
    <row r="797" spans="1:2" x14ac:dyDescent="0.35">
      <c r="A797" t="s">
        <v>1622</v>
      </c>
      <c r="B797" t="s">
        <v>1623</v>
      </c>
    </row>
    <row r="798" spans="1:2" x14ac:dyDescent="0.35">
      <c r="A798" t="s">
        <v>1624</v>
      </c>
      <c r="B798" t="s">
        <v>1625</v>
      </c>
    </row>
    <row r="799" spans="1:2" x14ac:dyDescent="0.35">
      <c r="A799" t="s">
        <v>1626</v>
      </c>
      <c r="B799" t="s">
        <v>1627</v>
      </c>
    </row>
    <row r="800" spans="1:2" x14ac:dyDescent="0.35">
      <c r="A800" t="s">
        <v>1628</v>
      </c>
      <c r="B800" t="s">
        <v>1629</v>
      </c>
    </row>
    <row r="801" spans="1:2" x14ac:dyDescent="0.35">
      <c r="A801" t="s">
        <v>1630</v>
      </c>
      <c r="B801" t="s">
        <v>1631</v>
      </c>
    </row>
    <row r="802" spans="1:2" x14ac:dyDescent="0.35">
      <c r="A802" t="s">
        <v>1632</v>
      </c>
      <c r="B802" t="s">
        <v>1633</v>
      </c>
    </row>
    <row r="803" spans="1:2" x14ac:dyDescent="0.35">
      <c r="A803" t="s">
        <v>1634</v>
      </c>
      <c r="B803" t="s">
        <v>1635</v>
      </c>
    </row>
    <row r="804" spans="1:2" x14ac:dyDescent="0.35">
      <c r="A804" t="s">
        <v>1636</v>
      </c>
      <c r="B804" t="s">
        <v>1637</v>
      </c>
    </row>
    <row r="805" spans="1:2" x14ac:dyDescent="0.35">
      <c r="A805" t="s">
        <v>1638</v>
      </c>
      <c r="B805">
        <v>1935</v>
      </c>
    </row>
    <row r="806" spans="1:2" x14ac:dyDescent="0.35">
      <c r="A806" t="s">
        <v>1639</v>
      </c>
      <c r="B806">
        <v>542</v>
      </c>
    </row>
    <row r="807" spans="1:2" x14ac:dyDescent="0.35">
      <c r="A807" t="s">
        <v>1640</v>
      </c>
      <c r="B807">
        <v>2186</v>
      </c>
    </row>
    <row r="808" spans="1:2" x14ac:dyDescent="0.35">
      <c r="A808" t="s">
        <v>1641</v>
      </c>
      <c r="B808" t="s">
        <v>1642</v>
      </c>
    </row>
    <row r="809" spans="1:2" x14ac:dyDescent="0.35">
      <c r="A809" t="s">
        <v>1641</v>
      </c>
      <c r="B809">
        <v>962</v>
      </c>
    </row>
    <row r="810" spans="1:2" x14ac:dyDescent="0.35">
      <c r="A810" t="s">
        <v>1643</v>
      </c>
      <c r="B810" t="s">
        <v>1644</v>
      </c>
    </row>
    <row r="811" spans="1:2" x14ac:dyDescent="0.35">
      <c r="A811" t="s">
        <v>1643</v>
      </c>
      <c r="B811">
        <v>810</v>
      </c>
    </row>
    <row r="812" spans="1:2" x14ac:dyDescent="0.35">
      <c r="A812" t="s">
        <v>1645</v>
      </c>
      <c r="B812" t="s">
        <v>1646</v>
      </c>
    </row>
    <row r="813" spans="1:2" x14ac:dyDescent="0.35">
      <c r="A813" t="s">
        <v>1645</v>
      </c>
      <c r="B813">
        <v>1579</v>
      </c>
    </row>
    <row r="814" spans="1:2" x14ac:dyDescent="0.35">
      <c r="A814" t="s">
        <v>1647</v>
      </c>
      <c r="B814" t="s">
        <v>1648</v>
      </c>
    </row>
    <row r="815" spans="1:2" x14ac:dyDescent="0.35">
      <c r="A815" t="s">
        <v>1647</v>
      </c>
      <c r="B815">
        <v>2113</v>
      </c>
    </row>
    <row r="816" spans="1:2" x14ac:dyDescent="0.35">
      <c r="A816" t="s">
        <v>1649</v>
      </c>
      <c r="B816" t="s">
        <v>1650</v>
      </c>
    </row>
    <row r="817" spans="1:2" x14ac:dyDescent="0.35">
      <c r="A817" t="s">
        <v>1649</v>
      </c>
      <c r="B817">
        <v>1293</v>
      </c>
    </row>
    <row r="818" spans="1:2" x14ac:dyDescent="0.35">
      <c r="A818" t="s">
        <v>1651</v>
      </c>
      <c r="B818">
        <v>1243</v>
      </c>
    </row>
    <row r="819" spans="1:2" x14ac:dyDescent="0.35">
      <c r="A819" t="s">
        <v>1652</v>
      </c>
      <c r="B819">
        <v>1926</v>
      </c>
    </row>
    <row r="820" spans="1:2" x14ac:dyDescent="0.35">
      <c r="A820" t="s">
        <v>1653</v>
      </c>
      <c r="B820" t="s">
        <v>1654</v>
      </c>
    </row>
    <row r="821" spans="1:2" x14ac:dyDescent="0.35">
      <c r="A821" t="s">
        <v>1653</v>
      </c>
      <c r="B821">
        <v>704</v>
      </c>
    </row>
    <row r="822" spans="1:2" x14ac:dyDescent="0.35">
      <c r="A822" t="s">
        <v>1655</v>
      </c>
      <c r="B822" t="s">
        <v>1656</v>
      </c>
    </row>
    <row r="823" spans="1:2" x14ac:dyDescent="0.35">
      <c r="A823" t="s">
        <v>1655</v>
      </c>
      <c r="B823">
        <v>968</v>
      </c>
    </row>
    <row r="824" spans="1:2" x14ac:dyDescent="0.35">
      <c r="A824" t="s">
        <v>1657</v>
      </c>
      <c r="B824" t="s">
        <v>1658</v>
      </c>
    </row>
    <row r="825" spans="1:2" x14ac:dyDescent="0.35">
      <c r="A825" t="s">
        <v>1657</v>
      </c>
      <c r="B825">
        <v>368</v>
      </c>
    </row>
    <row r="826" spans="1:2" x14ac:dyDescent="0.35">
      <c r="A826" t="s">
        <v>1659</v>
      </c>
      <c r="B826" t="s">
        <v>1660</v>
      </c>
    </row>
    <row r="827" spans="1:2" x14ac:dyDescent="0.35">
      <c r="A827" t="s">
        <v>1659</v>
      </c>
      <c r="B827">
        <v>1645</v>
      </c>
    </row>
    <row r="828" spans="1:2" x14ac:dyDescent="0.35">
      <c r="A828" t="s">
        <v>1661</v>
      </c>
      <c r="B828" t="s">
        <v>1662</v>
      </c>
    </row>
    <row r="829" spans="1:2" x14ac:dyDescent="0.35">
      <c r="A829" t="s">
        <v>1661</v>
      </c>
      <c r="B829">
        <v>916</v>
      </c>
    </row>
    <row r="830" spans="1:2" x14ac:dyDescent="0.35">
      <c r="A830" t="s">
        <v>1663</v>
      </c>
      <c r="B830" t="s">
        <v>1664</v>
      </c>
    </row>
    <row r="831" spans="1:2" x14ac:dyDescent="0.35">
      <c r="A831" t="s">
        <v>1663</v>
      </c>
      <c r="B831">
        <v>2000</v>
      </c>
    </row>
    <row r="832" spans="1:2" x14ac:dyDescent="0.35">
      <c r="A832" t="s">
        <v>1665</v>
      </c>
      <c r="B832" t="s">
        <v>1666</v>
      </c>
    </row>
    <row r="833" spans="1:2" x14ac:dyDescent="0.35">
      <c r="A833" t="s">
        <v>1665</v>
      </c>
      <c r="B833">
        <v>259</v>
      </c>
    </row>
    <row r="834" spans="1:2" x14ac:dyDescent="0.35">
      <c r="A834" t="s">
        <v>1667</v>
      </c>
      <c r="B834" t="s">
        <v>1668</v>
      </c>
    </row>
    <row r="835" spans="1:2" x14ac:dyDescent="0.35">
      <c r="A835" t="s">
        <v>1667</v>
      </c>
      <c r="B835">
        <v>1019</v>
      </c>
    </row>
    <row r="836" spans="1:2" x14ac:dyDescent="0.35">
      <c r="A836" t="s">
        <v>1669</v>
      </c>
      <c r="B836" t="s">
        <v>1670</v>
      </c>
    </row>
    <row r="837" spans="1:2" x14ac:dyDescent="0.35">
      <c r="A837" t="s">
        <v>1669</v>
      </c>
      <c r="B837">
        <v>77</v>
      </c>
    </row>
    <row r="838" spans="1:2" x14ac:dyDescent="0.35">
      <c r="A838" t="s">
        <v>1671</v>
      </c>
      <c r="B838" t="s">
        <v>1672</v>
      </c>
    </row>
    <row r="839" spans="1:2" x14ac:dyDescent="0.35">
      <c r="A839" t="s">
        <v>1671</v>
      </c>
      <c r="B839">
        <v>83</v>
      </c>
    </row>
    <row r="840" spans="1:2" x14ac:dyDescent="0.35">
      <c r="A840" t="s">
        <v>1673</v>
      </c>
      <c r="B840" t="s">
        <v>1674</v>
      </c>
    </row>
    <row r="841" spans="1:2" x14ac:dyDescent="0.35">
      <c r="A841" t="s">
        <v>1673</v>
      </c>
      <c r="B841">
        <v>28</v>
      </c>
    </row>
    <row r="842" spans="1:2" x14ac:dyDescent="0.35">
      <c r="A842" t="s">
        <v>1675</v>
      </c>
      <c r="B842" t="s">
        <v>1676</v>
      </c>
    </row>
    <row r="843" spans="1:2" x14ac:dyDescent="0.35">
      <c r="A843" t="s">
        <v>1675</v>
      </c>
      <c r="B843">
        <v>321</v>
      </c>
    </row>
    <row r="844" spans="1:2" x14ac:dyDescent="0.35">
      <c r="A844" t="s">
        <v>1677</v>
      </c>
      <c r="B844">
        <v>1786</v>
      </c>
    </row>
    <row r="845" spans="1:2" x14ac:dyDescent="0.35">
      <c r="A845" t="s">
        <v>1678</v>
      </c>
      <c r="B845" t="s">
        <v>1679</v>
      </c>
    </row>
    <row r="846" spans="1:2" x14ac:dyDescent="0.35">
      <c r="A846" t="s">
        <v>1678</v>
      </c>
      <c r="B846">
        <v>1446</v>
      </c>
    </row>
    <row r="847" spans="1:2" x14ac:dyDescent="0.35">
      <c r="A847" t="s">
        <v>1680</v>
      </c>
      <c r="B847" t="s">
        <v>1681</v>
      </c>
    </row>
    <row r="848" spans="1:2" x14ac:dyDescent="0.35">
      <c r="A848" t="s">
        <v>1680</v>
      </c>
      <c r="B848">
        <v>567</v>
      </c>
    </row>
    <row r="849" spans="1:2" x14ac:dyDescent="0.35">
      <c r="A849" t="s">
        <v>1682</v>
      </c>
      <c r="B849" t="s">
        <v>1683</v>
      </c>
    </row>
    <row r="850" spans="1:2" x14ac:dyDescent="0.35">
      <c r="A850" t="s">
        <v>1682</v>
      </c>
      <c r="B850">
        <v>45</v>
      </c>
    </row>
    <row r="851" spans="1:2" x14ac:dyDescent="0.35">
      <c r="A851" t="s">
        <v>1684</v>
      </c>
      <c r="B851">
        <v>385</v>
      </c>
    </row>
    <row r="852" spans="1:2" x14ac:dyDescent="0.35">
      <c r="A852" t="s">
        <v>1685</v>
      </c>
      <c r="B852">
        <v>437</v>
      </c>
    </row>
    <row r="853" spans="1:2" x14ac:dyDescent="0.35">
      <c r="A853" t="s">
        <v>1686</v>
      </c>
      <c r="B853">
        <v>410</v>
      </c>
    </row>
    <row r="854" spans="1:2" x14ac:dyDescent="0.35">
      <c r="A854" t="s">
        <v>1687</v>
      </c>
      <c r="B854">
        <v>822</v>
      </c>
    </row>
    <row r="855" spans="1:2" x14ac:dyDescent="0.35">
      <c r="A855" t="s">
        <v>1688</v>
      </c>
      <c r="B855">
        <v>294</v>
      </c>
    </row>
    <row r="856" spans="1:2" x14ac:dyDescent="0.35">
      <c r="A856" t="s">
        <v>1689</v>
      </c>
      <c r="B856">
        <v>1065</v>
      </c>
    </row>
    <row r="857" spans="1:2" x14ac:dyDescent="0.35">
      <c r="A857" t="s">
        <v>1690</v>
      </c>
      <c r="B857">
        <v>734</v>
      </c>
    </row>
    <row r="858" spans="1:2" x14ac:dyDescent="0.35">
      <c r="A858" t="s">
        <v>1691</v>
      </c>
      <c r="B858">
        <v>1059</v>
      </c>
    </row>
    <row r="859" spans="1:2" x14ac:dyDescent="0.35">
      <c r="A859" t="s">
        <v>1692</v>
      </c>
      <c r="B859">
        <v>964</v>
      </c>
    </row>
    <row r="860" spans="1:2" x14ac:dyDescent="0.35">
      <c r="A860" t="s">
        <v>1693</v>
      </c>
      <c r="B860">
        <v>152</v>
      </c>
    </row>
    <row r="861" spans="1:2" x14ac:dyDescent="0.35">
      <c r="A861" t="s">
        <v>1694</v>
      </c>
      <c r="B861">
        <v>1186</v>
      </c>
    </row>
    <row r="862" spans="1:2" x14ac:dyDescent="0.35">
      <c r="A862" t="s">
        <v>1695</v>
      </c>
      <c r="B862">
        <v>1061</v>
      </c>
    </row>
    <row r="863" spans="1:2" x14ac:dyDescent="0.35">
      <c r="A863" t="s">
        <v>1696</v>
      </c>
      <c r="B863">
        <v>765</v>
      </c>
    </row>
    <row r="864" spans="1:2" x14ac:dyDescent="0.35">
      <c r="A864" t="s">
        <v>1697</v>
      </c>
      <c r="B864">
        <v>146</v>
      </c>
    </row>
    <row r="865" spans="1:2" x14ac:dyDescent="0.35">
      <c r="A865" t="s">
        <v>1698</v>
      </c>
      <c r="B865">
        <v>650</v>
      </c>
    </row>
    <row r="866" spans="1:2" x14ac:dyDescent="0.35">
      <c r="A866" t="s">
        <v>1699</v>
      </c>
      <c r="B866">
        <v>2188</v>
      </c>
    </row>
    <row r="867" spans="1:2" x14ac:dyDescent="0.35">
      <c r="A867" t="s">
        <v>1700</v>
      </c>
      <c r="B867">
        <v>913</v>
      </c>
    </row>
    <row r="868" spans="1:2" x14ac:dyDescent="0.35">
      <c r="A868" t="s">
        <v>1701</v>
      </c>
      <c r="B868">
        <v>324</v>
      </c>
    </row>
    <row r="869" spans="1:2" x14ac:dyDescent="0.35">
      <c r="A869" t="s">
        <v>1702</v>
      </c>
      <c r="B869">
        <v>284</v>
      </c>
    </row>
    <row r="870" spans="1:2" x14ac:dyDescent="0.35">
      <c r="A870" t="s">
        <v>1703</v>
      </c>
      <c r="B870">
        <v>592</v>
      </c>
    </row>
    <row r="871" spans="1:2" x14ac:dyDescent="0.35">
      <c r="A871" t="s">
        <v>1704</v>
      </c>
      <c r="B871">
        <v>800</v>
      </c>
    </row>
    <row r="872" spans="1:2" x14ac:dyDescent="0.35">
      <c r="A872" t="s">
        <v>1705</v>
      </c>
      <c r="B872">
        <v>13</v>
      </c>
    </row>
    <row r="873" spans="1:2" x14ac:dyDescent="0.35">
      <c r="A873" t="s">
        <v>1706</v>
      </c>
      <c r="B873">
        <v>649</v>
      </c>
    </row>
    <row r="874" spans="1:2" x14ac:dyDescent="0.35">
      <c r="A874" t="s">
        <v>1707</v>
      </c>
      <c r="B874">
        <v>921</v>
      </c>
    </row>
    <row r="875" spans="1:2" x14ac:dyDescent="0.35">
      <c r="A875" t="s">
        <v>1708</v>
      </c>
      <c r="B875">
        <v>285</v>
      </c>
    </row>
    <row r="876" spans="1:2" x14ac:dyDescent="0.35">
      <c r="A876" t="s">
        <v>1709</v>
      </c>
      <c r="B876">
        <v>579</v>
      </c>
    </row>
    <row r="877" spans="1:2" x14ac:dyDescent="0.35">
      <c r="A877" t="s">
        <v>1710</v>
      </c>
      <c r="B877">
        <v>121</v>
      </c>
    </row>
    <row r="878" spans="1:2" x14ac:dyDescent="0.35">
      <c r="A878" t="s">
        <v>1711</v>
      </c>
      <c r="B878">
        <v>743</v>
      </c>
    </row>
    <row r="879" spans="1:2" x14ac:dyDescent="0.35">
      <c r="A879" t="s">
        <v>1712</v>
      </c>
      <c r="B879">
        <v>680</v>
      </c>
    </row>
    <row r="880" spans="1:2" x14ac:dyDescent="0.35">
      <c r="A880" t="s">
        <v>1713</v>
      </c>
      <c r="B880">
        <v>518</v>
      </c>
    </row>
    <row r="881" spans="1:2" x14ac:dyDescent="0.35">
      <c r="A881" t="s">
        <v>1714</v>
      </c>
      <c r="B881">
        <v>231</v>
      </c>
    </row>
    <row r="882" spans="1:2" x14ac:dyDescent="0.35">
      <c r="A882" t="s">
        <v>1715</v>
      </c>
      <c r="B882">
        <v>603</v>
      </c>
    </row>
    <row r="883" spans="1:2" x14ac:dyDescent="0.35">
      <c r="A883" t="s">
        <v>1716</v>
      </c>
      <c r="B883">
        <v>954</v>
      </c>
    </row>
    <row r="884" spans="1:2" x14ac:dyDescent="0.35">
      <c r="A884" t="s">
        <v>1717</v>
      </c>
      <c r="B884">
        <v>606</v>
      </c>
    </row>
    <row r="885" spans="1:2" x14ac:dyDescent="0.35">
      <c r="A885" t="s">
        <v>1718</v>
      </c>
      <c r="B885">
        <v>1111</v>
      </c>
    </row>
    <row r="886" spans="1:2" x14ac:dyDescent="0.35">
      <c r="A886" t="s">
        <v>1719</v>
      </c>
      <c r="B886">
        <v>436</v>
      </c>
    </row>
    <row r="887" spans="1:2" x14ac:dyDescent="0.35">
      <c r="A887" t="s">
        <v>1720</v>
      </c>
      <c r="B887">
        <v>600</v>
      </c>
    </row>
    <row r="888" spans="1:2" x14ac:dyDescent="0.35">
      <c r="A888" t="s">
        <v>1721</v>
      </c>
      <c r="B888">
        <v>1089</v>
      </c>
    </row>
    <row r="889" spans="1:2" x14ac:dyDescent="0.35">
      <c r="A889" t="s">
        <v>1722</v>
      </c>
      <c r="B889">
        <v>1273</v>
      </c>
    </row>
    <row r="890" spans="1:2" x14ac:dyDescent="0.35">
      <c r="A890" t="s">
        <v>1723</v>
      </c>
      <c r="B890">
        <v>39</v>
      </c>
    </row>
    <row r="891" spans="1:2" x14ac:dyDescent="0.35">
      <c r="A891" t="s">
        <v>1724</v>
      </c>
      <c r="B891">
        <v>275</v>
      </c>
    </row>
    <row r="892" spans="1:2" x14ac:dyDescent="0.35">
      <c r="A892" t="s">
        <v>1725</v>
      </c>
      <c r="B892">
        <v>396</v>
      </c>
    </row>
    <row r="893" spans="1:2" x14ac:dyDescent="0.35">
      <c r="A893" t="s">
        <v>1726</v>
      </c>
      <c r="B893" t="s">
        <v>1727</v>
      </c>
    </row>
    <row r="894" spans="1:2" x14ac:dyDescent="0.35">
      <c r="A894" t="s">
        <v>1726</v>
      </c>
      <c r="B894">
        <v>2008</v>
      </c>
    </row>
    <row r="895" spans="1:2" x14ac:dyDescent="0.35">
      <c r="A895" t="s">
        <v>1728</v>
      </c>
      <c r="B895">
        <v>520</v>
      </c>
    </row>
    <row r="896" spans="1:2" x14ac:dyDescent="0.35">
      <c r="A896" t="s">
        <v>1729</v>
      </c>
      <c r="B896">
        <v>371</v>
      </c>
    </row>
    <row r="897" spans="1:2" x14ac:dyDescent="0.35">
      <c r="A897" t="s">
        <v>1730</v>
      </c>
      <c r="B897">
        <v>1074</v>
      </c>
    </row>
    <row r="898" spans="1:2" x14ac:dyDescent="0.35">
      <c r="A898" t="s">
        <v>1731</v>
      </c>
      <c r="B898">
        <v>1081</v>
      </c>
    </row>
    <row r="899" spans="1:2" x14ac:dyDescent="0.35">
      <c r="A899" t="s">
        <v>1732</v>
      </c>
      <c r="B899">
        <v>842</v>
      </c>
    </row>
    <row r="900" spans="1:2" x14ac:dyDescent="0.35">
      <c r="A900" t="s">
        <v>1733</v>
      </c>
      <c r="B900">
        <v>517</v>
      </c>
    </row>
    <row r="901" spans="1:2" x14ac:dyDescent="0.35">
      <c r="A901" t="s">
        <v>1734</v>
      </c>
      <c r="B901">
        <v>1208</v>
      </c>
    </row>
    <row r="902" spans="1:2" x14ac:dyDescent="0.35">
      <c r="A902" t="s">
        <v>1735</v>
      </c>
      <c r="B902">
        <v>438</v>
      </c>
    </row>
    <row r="903" spans="1:2" x14ac:dyDescent="0.35">
      <c r="A903" t="s">
        <v>1736</v>
      </c>
      <c r="B903">
        <v>279</v>
      </c>
    </row>
    <row r="904" spans="1:2" x14ac:dyDescent="0.35">
      <c r="A904" t="s">
        <v>1737</v>
      </c>
      <c r="B904">
        <v>824</v>
      </c>
    </row>
    <row r="905" spans="1:2" x14ac:dyDescent="0.35">
      <c r="A905" t="s">
        <v>1738</v>
      </c>
      <c r="B905">
        <v>106</v>
      </c>
    </row>
    <row r="906" spans="1:2" x14ac:dyDescent="0.35">
      <c r="A906" t="s">
        <v>1739</v>
      </c>
      <c r="B906">
        <v>827</v>
      </c>
    </row>
    <row r="907" spans="1:2" x14ac:dyDescent="0.35">
      <c r="A907" t="s">
        <v>1740</v>
      </c>
      <c r="B907">
        <v>298</v>
      </c>
    </row>
    <row r="908" spans="1:2" x14ac:dyDescent="0.35">
      <c r="A908" t="s">
        <v>1741</v>
      </c>
      <c r="B908">
        <v>404</v>
      </c>
    </row>
    <row r="909" spans="1:2" x14ac:dyDescent="0.35">
      <c r="A909" t="s">
        <v>1742</v>
      </c>
      <c r="B909">
        <v>412</v>
      </c>
    </row>
    <row r="910" spans="1:2" x14ac:dyDescent="0.35">
      <c r="A910" t="s">
        <v>1743</v>
      </c>
      <c r="B910">
        <v>66</v>
      </c>
    </row>
    <row r="911" spans="1:2" x14ac:dyDescent="0.35">
      <c r="A911" t="s">
        <v>1744</v>
      </c>
      <c r="B911">
        <v>751</v>
      </c>
    </row>
    <row r="912" spans="1:2" x14ac:dyDescent="0.35">
      <c r="A912" t="s">
        <v>1745</v>
      </c>
      <c r="B912">
        <v>166</v>
      </c>
    </row>
    <row r="913" spans="1:2" x14ac:dyDescent="0.35">
      <c r="A913" t="s">
        <v>1746</v>
      </c>
      <c r="B913">
        <v>14</v>
      </c>
    </row>
    <row r="914" spans="1:2" x14ac:dyDescent="0.35">
      <c r="A914" t="s">
        <v>1747</v>
      </c>
      <c r="B914">
        <v>672</v>
      </c>
    </row>
    <row r="915" spans="1:2" x14ac:dyDescent="0.35">
      <c r="A915" t="s">
        <v>1748</v>
      </c>
      <c r="B915">
        <v>1299</v>
      </c>
    </row>
    <row r="916" spans="1:2" x14ac:dyDescent="0.35">
      <c r="A916" t="s">
        <v>1749</v>
      </c>
      <c r="B916">
        <v>908</v>
      </c>
    </row>
    <row r="917" spans="1:2" x14ac:dyDescent="0.35">
      <c r="A917" t="s">
        <v>1750</v>
      </c>
      <c r="B917">
        <v>1038</v>
      </c>
    </row>
    <row r="918" spans="1:2" x14ac:dyDescent="0.35">
      <c r="A918" t="s">
        <v>1751</v>
      </c>
      <c r="B918">
        <v>1207</v>
      </c>
    </row>
    <row r="919" spans="1:2" x14ac:dyDescent="0.35">
      <c r="A919" t="s">
        <v>1752</v>
      </c>
      <c r="B919">
        <v>350</v>
      </c>
    </row>
    <row r="920" spans="1:2" x14ac:dyDescent="0.35">
      <c r="A920" t="s">
        <v>1753</v>
      </c>
      <c r="B920">
        <v>620</v>
      </c>
    </row>
    <row r="921" spans="1:2" x14ac:dyDescent="0.35">
      <c r="A921" t="s">
        <v>1754</v>
      </c>
      <c r="B921">
        <v>858</v>
      </c>
    </row>
    <row r="922" spans="1:2" x14ac:dyDescent="0.35">
      <c r="A922" t="s">
        <v>1755</v>
      </c>
      <c r="B922">
        <v>343</v>
      </c>
    </row>
    <row r="923" spans="1:2" x14ac:dyDescent="0.35">
      <c r="A923" t="s">
        <v>1756</v>
      </c>
      <c r="B923">
        <v>315</v>
      </c>
    </row>
    <row r="924" spans="1:2" x14ac:dyDescent="0.35">
      <c r="A924" t="s">
        <v>1757</v>
      </c>
      <c r="B924">
        <v>772</v>
      </c>
    </row>
    <row r="925" spans="1:2" x14ac:dyDescent="0.35">
      <c r="A925" t="s">
        <v>1758</v>
      </c>
      <c r="B925">
        <v>979</v>
      </c>
    </row>
    <row r="926" spans="1:2" x14ac:dyDescent="0.35">
      <c r="A926" t="s">
        <v>1759</v>
      </c>
      <c r="B926">
        <v>347</v>
      </c>
    </row>
    <row r="927" spans="1:2" x14ac:dyDescent="0.35">
      <c r="A927" t="s">
        <v>1760</v>
      </c>
      <c r="B927">
        <v>1948</v>
      </c>
    </row>
    <row r="928" spans="1:2" x14ac:dyDescent="0.35">
      <c r="A928" t="s">
        <v>1761</v>
      </c>
      <c r="B928">
        <v>581</v>
      </c>
    </row>
    <row r="929" spans="1:2" x14ac:dyDescent="0.35">
      <c r="A929" t="s">
        <v>1762</v>
      </c>
      <c r="B929">
        <v>1064</v>
      </c>
    </row>
    <row r="930" spans="1:2" x14ac:dyDescent="0.35">
      <c r="A930" t="s">
        <v>1763</v>
      </c>
      <c r="B930">
        <v>1274</v>
      </c>
    </row>
    <row r="931" spans="1:2" x14ac:dyDescent="0.35">
      <c r="A931" t="s">
        <v>1764</v>
      </c>
      <c r="B931">
        <v>222</v>
      </c>
    </row>
    <row r="932" spans="1:2" x14ac:dyDescent="0.35">
      <c r="A932" t="s">
        <v>1765</v>
      </c>
      <c r="B932">
        <v>250</v>
      </c>
    </row>
    <row r="933" spans="1:2" x14ac:dyDescent="0.35">
      <c r="A933" t="s">
        <v>1766</v>
      </c>
      <c r="B933">
        <v>249</v>
      </c>
    </row>
    <row r="934" spans="1:2" x14ac:dyDescent="0.35">
      <c r="A934" t="s">
        <v>1767</v>
      </c>
      <c r="B934">
        <v>922</v>
      </c>
    </row>
    <row r="935" spans="1:2" x14ac:dyDescent="0.35">
      <c r="A935" t="s">
        <v>1768</v>
      </c>
      <c r="B935">
        <v>814</v>
      </c>
    </row>
    <row r="936" spans="1:2" x14ac:dyDescent="0.35">
      <c r="A936" t="s">
        <v>1769</v>
      </c>
      <c r="B936">
        <v>776</v>
      </c>
    </row>
    <row r="937" spans="1:2" x14ac:dyDescent="0.35">
      <c r="A937" t="s">
        <v>1770</v>
      </c>
      <c r="B937">
        <v>226</v>
      </c>
    </row>
    <row r="938" spans="1:2" x14ac:dyDescent="0.35">
      <c r="A938" t="s">
        <v>1771</v>
      </c>
      <c r="B938">
        <v>42</v>
      </c>
    </row>
    <row r="939" spans="1:2" x14ac:dyDescent="0.35">
      <c r="A939" t="s">
        <v>1772</v>
      </c>
      <c r="B939">
        <v>884</v>
      </c>
    </row>
    <row r="940" spans="1:2" x14ac:dyDescent="0.35">
      <c r="A940" t="s">
        <v>1773</v>
      </c>
      <c r="B940">
        <v>623</v>
      </c>
    </row>
    <row r="941" spans="1:2" x14ac:dyDescent="0.35">
      <c r="A941" t="s">
        <v>1774</v>
      </c>
      <c r="B941">
        <v>919</v>
      </c>
    </row>
    <row r="942" spans="1:2" x14ac:dyDescent="0.35">
      <c r="A942" t="s">
        <v>1775</v>
      </c>
      <c r="B942">
        <v>463</v>
      </c>
    </row>
    <row r="943" spans="1:2" x14ac:dyDescent="0.35">
      <c r="A943" t="s">
        <v>1776</v>
      </c>
      <c r="B943">
        <v>625</v>
      </c>
    </row>
    <row r="944" spans="1:2" x14ac:dyDescent="0.35">
      <c r="A944" t="s">
        <v>1777</v>
      </c>
      <c r="B944">
        <v>15</v>
      </c>
    </row>
    <row r="945" spans="1:2" x14ac:dyDescent="0.35">
      <c r="A945" t="s">
        <v>1778</v>
      </c>
      <c r="B945">
        <v>306</v>
      </c>
    </row>
    <row r="946" spans="1:2" x14ac:dyDescent="0.35">
      <c r="A946" t="s">
        <v>1779</v>
      </c>
      <c r="B946">
        <v>942</v>
      </c>
    </row>
    <row r="947" spans="1:2" x14ac:dyDescent="0.35">
      <c r="A947" t="s">
        <v>1780</v>
      </c>
      <c r="B947">
        <v>209</v>
      </c>
    </row>
    <row r="948" spans="1:2" x14ac:dyDescent="0.35">
      <c r="A948" t="s">
        <v>1781</v>
      </c>
      <c r="B948">
        <v>300</v>
      </c>
    </row>
    <row r="949" spans="1:2" x14ac:dyDescent="0.35">
      <c r="A949" t="s">
        <v>1782</v>
      </c>
      <c r="B949">
        <v>1199</v>
      </c>
    </row>
    <row r="950" spans="1:2" x14ac:dyDescent="0.35">
      <c r="A950" t="s">
        <v>1783</v>
      </c>
      <c r="B950">
        <v>348</v>
      </c>
    </row>
    <row r="951" spans="1:2" x14ac:dyDescent="0.35">
      <c r="A951" t="s">
        <v>1784</v>
      </c>
      <c r="B951">
        <v>314</v>
      </c>
    </row>
    <row r="952" spans="1:2" x14ac:dyDescent="0.35">
      <c r="A952" t="s">
        <v>1785</v>
      </c>
      <c r="B952">
        <v>323</v>
      </c>
    </row>
    <row r="953" spans="1:2" x14ac:dyDescent="0.35">
      <c r="A953" t="s">
        <v>1786</v>
      </c>
      <c r="B953">
        <v>349</v>
      </c>
    </row>
    <row r="954" spans="1:2" x14ac:dyDescent="0.35">
      <c r="A954" t="s">
        <v>1787</v>
      </c>
      <c r="B954">
        <v>101</v>
      </c>
    </row>
    <row r="955" spans="1:2" x14ac:dyDescent="0.35">
      <c r="A955" t="s">
        <v>1788</v>
      </c>
      <c r="B955">
        <v>1045</v>
      </c>
    </row>
    <row r="956" spans="1:2" x14ac:dyDescent="0.35">
      <c r="A956" t="s">
        <v>1789</v>
      </c>
      <c r="B956">
        <v>1001</v>
      </c>
    </row>
    <row r="957" spans="1:2" x14ac:dyDescent="0.35">
      <c r="A957" t="s">
        <v>1790</v>
      </c>
      <c r="B957">
        <v>687</v>
      </c>
    </row>
    <row r="958" spans="1:2" x14ac:dyDescent="0.35">
      <c r="A958" t="s">
        <v>1791</v>
      </c>
      <c r="B958">
        <v>303</v>
      </c>
    </row>
    <row r="959" spans="1:2" x14ac:dyDescent="0.35">
      <c r="A959" t="s">
        <v>1792</v>
      </c>
      <c r="B959">
        <v>265</v>
      </c>
    </row>
    <row r="960" spans="1:2" x14ac:dyDescent="0.35">
      <c r="A960" t="s">
        <v>1793</v>
      </c>
      <c r="B960">
        <v>963</v>
      </c>
    </row>
    <row r="961" spans="1:2" x14ac:dyDescent="0.35">
      <c r="A961" t="s">
        <v>1794</v>
      </c>
      <c r="B961">
        <v>1043</v>
      </c>
    </row>
    <row r="962" spans="1:2" x14ac:dyDescent="0.35">
      <c r="A962" t="s">
        <v>1795</v>
      </c>
      <c r="B962">
        <v>474</v>
      </c>
    </row>
    <row r="963" spans="1:2" x14ac:dyDescent="0.35">
      <c r="A963" t="s">
        <v>1796</v>
      </c>
      <c r="B963">
        <v>1110</v>
      </c>
    </row>
    <row r="964" spans="1:2" x14ac:dyDescent="0.35">
      <c r="A964" t="s">
        <v>1797</v>
      </c>
      <c r="B964">
        <v>930</v>
      </c>
    </row>
    <row r="965" spans="1:2" x14ac:dyDescent="0.35">
      <c r="A965" t="s">
        <v>1798</v>
      </c>
      <c r="B965">
        <v>18</v>
      </c>
    </row>
    <row r="966" spans="1:2" x14ac:dyDescent="0.35">
      <c r="A966" t="s">
        <v>1799</v>
      </c>
      <c r="B966">
        <v>1202</v>
      </c>
    </row>
    <row r="967" spans="1:2" x14ac:dyDescent="0.35">
      <c r="A967" t="s">
        <v>1800</v>
      </c>
      <c r="B967">
        <v>768</v>
      </c>
    </row>
    <row r="968" spans="1:2" x14ac:dyDescent="0.35">
      <c r="A968" t="s">
        <v>1801</v>
      </c>
      <c r="B968">
        <v>1150</v>
      </c>
    </row>
    <row r="969" spans="1:2" x14ac:dyDescent="0.35">
      <c r="A969" t="s">
        <v>1802</v>
      </c>
      <c r="B969">
        <v>777</v>
      </c>
    </row>
    <row r="970" spans="1:2" x14ac:dyDescent="0.35">
      <c r="A970" t="s">
        <v>1803</v>
      </c>
      <c r="B970">
        <v>988</v>
      </c>
    </row>
    <row r="971" spans="1:2" x14ac:dyDescent="0.35">
      <c r="A971" t="s">
        <v>1804</v>
      </c>
      <c r="B971">
        <v>717</v>
      </c>
    </row>
    <row r="972" spans="1:2" x14ac:dyDescent="0.35">
      <c r="A972" t="s">
        <v>1805</v>
      </c>
      <c r="B972">
        <v>1256</v>
      </c>
    </row>
    <row r="973" spans="1:2" x14ac:dyDescent="0.35">
      <c r="A973" t="s">
        <v>1806</v>
      </c>
      <c r="B973">
        <v>735</v>
      </c>
    </row>
    <row r="974" spans="1:2" x14ac:dyDescent="0.35">
      <c r="A974" t="s">
        <v>1807</v>
      </c>
      <c r="B974">
        <v>200</v>
      </c>
    </row>
    <row r="975" spans="1:2" x14ac:dyDescent="0.35">
      <c r="A975" t="s">
        <v>1808</v>
      </c>
      <c r="B975">
        <v>935</v>
      </c>
    </row>
    <row r="976" spans="1:2" x14ac:dyDescent="0.35">
      <c r="A976" t="s">
        <v>1809</v>
      </c>
      <c r="B976">
        <v>766</v>
      </c>
    </row>
    <row r="977" spans="1:2" x14ac:dyDescent="0.35">
      <c r="A977" t="s">
        <v>1810</v>
      </c>
      <c r="B977">
        <v>296</v>
      </c>
    </row>
    <row r="978" spans="1:2" x14ac:dyDescent="0.35">
      <c r="A978" t="s">
        <v>1811</v>
      </c>
      <c r="B978">
        <v>281</v>
      </c>
    </row>
    <row r="979" spans="1:2" x14ac:dyDescent="0.35">
      <c r="A979" t="s">
        <v>1812</v>
      </c>
      <c r="B979">
        <v>480</v>
      </c>
    </row>
    <row r="980" spans="1:2" x14ac:dyDescent="0.35">
      <c r="A980" t="s">
        <v>1813</v>
      </c>
      <c r="B980">
        <v>1087</v>
      </c>
    </row>
    <row r="981" spans="1:2" x14ac:dyDescent="0.35">
      <c r="A981" t="s">
        <v>1814</v>
      </c>
      <c r="B981">
        <v>1006</v>
      </c>
    </row>
    <row r="982" spans="1:2" x14ac:dyDescent="0.35">
      <c r="A982" t="s">
        <v>1815</v>
      </c>
      <c r="B982">
        <v>978</v>
      </c>
    </row>
    <row r="983" spans="1:2" x14ac:dyDescent="0.35">
      <c r="A983" t="s">
        <v>1816</v>
      </c>
      <c r="B983">
        <v>629</v>
      </c>
    </row>
    <row r="984" spans="1:2" x14ac:dyDescent="0.35">
      <c r="A984" t="s">
        <v>1817</v>
      </c>
      <c r="B984">
        <v>1041</v>
      </c>
    </row>
    <row r="985" spans="1:2" x14ac:dyDescent="0.35">
      <c r="A985" t="s">
        <v>1818</v>
      </c>
      <c r="B985">
        <v>802</v>
      </c>
    </row>
    <row r="986" spans="1:2" x14ac:dyDescent="0.35">
      <c r="A986" t="s">
        <v>1819</v>
      </c>
      <c r="B986">
        <v>477</v>
      </c>
    </row>
    <row r="987" spans="1:2" x14ac:dyDescent="0.35">
      <c r="A987" t="s">
        <v>1820</v>
      </c>
      <c r="B987">
        <v>165</v>
      </c>
    </row>
    <row r="988" spans="1:2" x14ac:dyDescent="0.35">
      <c r="A988" t="s">
        <v>1821</v>
      </c>
      <c r="B988">
        <v>696</v>
      </c>
    </row>
    <row r="989" spans="1:2" x14ac:dyDescent="0.35">
      <c r="A989" t="s">
        <v>1822</v>
      </c>
      <c r="B989">
        <v>903</v>
      </c>
    </row>
    <row r="990" spans="1:2" x14ac:dyDescent="0.35">
      <c r="A990" t="s">
        <v>1823</v>
      </c>
      <c r="B990">
        <v>1005</v>
      </c>
    </row>
    <row r="991" spans="1:2" x14ac:dyDescent="0.35">
      <c r="A991" t="s">
        <v>1824</v>
      </c>
      <c r="B991">
        <v>856</v>
      </c>
    </row>
    <row r="992" spans="1:2" x14ac:dyDescent="0.35">
      <c r="A992" t="s">
        <v>1825</v>
      </c>
      <c r="B992">
        <v>693</v>
      </c>
    </row>
    <row r="993" spans="1:2" x14ac:dyDescent="0.35">
      <c r="A993" t="s">
        <v>1826</v>
      </c>
      <c r="B993">
        <v>619</v>
      </c>
    </row>
    <row r="994" spans="1:2" x14ac:dyDescent="0.35">
      <c r="A994" t="s">
        <v>1827</v>
      </c>
      <c r="B994">
        <v>560</v>
      </c>
    </row>
    <row r="995" spans="1:2" x14ac:dyDescent="0.35">
      <c r="A995" t="s">
        <v>1828</v>
      </c>
      <c r="B995">
        <v>475</v>
      </c>
    </row>
    <row r="996" spans="1:2" x14ac:dyDescent="0.35">
      <c r="A996" t="s">
        <v>1829</v>
      </c>
      <c r="B996">
        <v>476</v>
      </c>
    </row>
    <row r="997" spans="1:2" x14ac:dyDescent="0.35">
      <c r="A997" t="s">
        <v>1830</v>
      </c>
      <c r="B997">
        <v>605</v>
      </c>
    </row>
    <row r="998" spans="1:2" x14ac:dyDescent="0.35">
      <c r="A998" t="s">
        <v>1831</v>
      </c>
      <c r="B998">
        <v>716</v>
      </c>
    </row>
    <row r="999" spans="1:2" x14ac:dyDescent="0.35">
      <c r="A999" t="s">
        <v>1832</v>
      </c>
      <c r="B999">
        <v>1015</v>
      </c>
    </row>
    <row r="1000" spans="1:2" x14ac:dyDescent="0.35">
      <c r="A1000" t="s">
        <v>1833</v>
      </c>
      <c r="B1000">
        <v>708</v>
      </c>
    </row>
    <row r="1001" spans="1:2" x14ac:dyDescent="0.35">
      <c r="A1001" t="s">
        <v>1834</v>
      </c>
      <c r="B1001">
        <v>1052</v>
      </c>
    </row>
    <row r="1002" spans="1:2" x14ac:dyDescent="0.35">
      <c r="A1002" t="s">
        <v>1835</v>
      </c>
      <c r="B1002">
        <v>857</v>
      </c>
    </row>
    <row r="1003" spans="1:2" x14ac:dyDescent="0.35">
      <c r="A1003" t="s">
        <v>1836</v>
      </c>
      <c r="B1003">
        <v>554</v>
      </c>
    </row>
    <row r="1004" spans="1:2" x14ac:dyDescent="0.35">
      <c r="A1004" t="s">
        <v>1837</v>
      </c>
      <c r="B1004">
        <v>845</v>
      </c>
    </row>
    <row r="1005" spans="1:2" x14ac:dyDescent="0.35">
      <c r="A1005" t="s">
        <v>1838</v>
      </c>
      <c r="B1005">
        <v>830</v>
      </c>
    </row>
    <row r="1006" spans="1:2" x14ac:dyDescent="0.35">
      <c r="A1006" t="s">
        <v>1839</v>
      </c>
      <c r="B1006">
        <v>488</v>
      </c>
    </row>
    <row r="1007" spans="1:2" x14ac:dyDescent="0.35">
      <c r="A1007" t="s">
        <v>1840</v>
      </c>
      <c r="B1007">
        <v>906</v>
      </c>
    </row>
    <row r="1008" spans="1:2" x14ac:dyDescent="0.35">
      <c r="A1008" t="s">
        <v>1841</v>
      </c>
      <c r="B1008">
        <v>796</v>
      </c>
    </row>
    <row r="1009" spans="1:2" x14ac:dyDescent="0.35">
      <c r="A1009" t="s">
        <v>1842</v>
      </c>
      <c r="B1009">
        <v>1011</v>
      </c>
    </row>
    <row r="1010" spans="1:2" x14ac:dyDescent="0.35">
      <c r="A1010" t="s">
        <v>1843</v>
      </c>
      <c r="B1010">
        <v>1028</v>
      </c>
    </row>
    <row r="1011" spans="1:2" x14ac:dyDescent="0.35">
      <c r="A1011" t="s">
        <v>1844</v>
      </c>
      <c r="B1011">
        <v>729</v>
      </c>
    </row>
    <row r="1012" spans="1:2" x14ac:dyDescent="0.35">
      <c r="A1012" t="s">
        <v>1845</v>
      </c>
      <c r="B1012">
        <v>57</v>
      </c>
    </row>
    <row r="1013" spans="1:2" x14ac:dyDescent="0.35">
      <c r="A1013" t="s">
        <v>1846</v>
      </c>
      <c r="B1013">
        <v>93</v>
      </c>
    </row>
    <row r="1014" spans="1:2" x14ac:dyDescent="0.35">
      <c r="A1014" t="s">
        <v>1847</v>
      </c>
      <c r="B1014">
        <v>843</v>
      </c>
    </row>
    <row r="1015" spans="1:2" x14ac:dyDescent="0.35">
      <c r="A1015" t="s">
        <v>1848</v>
      </c>
      <c r="B1015">
        <v>418</v>
      </c>
    </row>
    <row r="1016" spans="1:2" x14ac:dyDescent="0.35">
      <c r="A1016" t="s">
        <v>1849</v>
      </c>
      <c r="B1016">
        <v>293</v>
      </c>
    </row>
    <row r="1017" spans="1:2" x14ac:dyDescent="0.35">
      <c r="A1017" t="s">
        <v>1850</v>
      </c>
      <c r="B1017">
        <v>914</v>
      </c>
    </row>
    <row r="1018" spans="1:2" x14ac:dyDescent="0.35">
      <c r="A1018" t="s">
        <v>1851</v>
      </c>
      <c r="B1018">
        <v>139</v>
      </c>
    </row>
    <row r="1019" spans="1:2" x14ac:dyDescent="0.35">
      <c r="A1019" t="s">
        <v>1852</v>
      </c>
      <c r="B1019">
        <v>297</v>
      </c>
    </row>
    <row r="1020" spans="1:2" x14ac:dyDescent="0.35">
      <c r="A1020" t="s">
        <v>1853</v>
      </c>
      <c r="B1020" t="s">
        <v>1854</v>
      </c>
    </row>
    <row r="1021" spans="1:2" x14ac:dyDescent="0.35">
      <c r="A1021" t="s">
        <v>1853</v>
      </c>
      <c r="B1021">
        <v>1686</v>
      </c>
    </row>
    <row r="1022" spans="1:2" x14ac:dyDescent="0.35">
      <c r="A1022" t="s">
        <v>1855</v>
      </c>
      <c r="B1022" t="s">
        <v>1856</v>
      </c>
    </row>
    <row r="1023" spans="1:2" x14ac:dyDescent="0.35">
      <c r="A1023" t="s">
        <v>1855</v>
      </c>
      <c r="B1023">
        <v>1703</v>
      </c>
    </row>
    <row r="1024" spans="1:2" x14ac:dyDescent="0.35">
      <c r="A1024" t="s">
        <v>1857</v>
      </c>
      <c r="B1024" t="s">
        <v>1858</v>
      </c>
    </row>
    <row r="1025" spans="1:2" x14ac:dyDescent="0.35">
      <c r="A1025" t="s">
        <v>1857</v>
      </c>
      <c r="B1025">
        <v>331</v>
      </c>
    </row>
    <row r="1026" spans="1:2" x14ac:dyDescent="0.35">
      <c r="A1026" t="s">
        <v>1859</v>
      </c>
      <c r="B1026" t="s">
        <v>1860</v>
      </c>
    </row>
    <row r="1027" spans="1:2" x14ac:dyDescent="0.35">
      <c r="A1027" t="s">
        <v>1859</v>
      </c>
      <c r="B1027">
        <v>1027</v>
      </c>
    </row>
    <row r="1028" spans="1:2" x14ac:dyDescent="0.35">
      <c r="A1028" t="s">
        <v>1861</v>
      </c>
      <c r="B1028">
        <v>206</v>
      </c>
    </row>
    <row r="1029" spans="1:2" x14ac:dyDescent="0.35">
      <c r="A1029" t="s">
        <v>1862</v>
      </c>
      <c r="B1029" t="s">
        <v>1863</v>
      </c>
    </row>
    <row r="1030" spans="1:2" x14ac:dyDescent="0.35">
      <c r="A1030" t="s">
        <v>1864</v>
      </c>
      <c r="B1030" t="s">
        <v>1865</v>
      </c>
    </row>
    <row r="1031" spans="1:2" x14ac:dyDescent="0.35">
      <c r="A1031" t="s">
        <v>1864</v>
      </c>
      <c r="B1031">
        <v>568</v>
      </c>
    </row>
    <row r="1032" spans="1:2" x14ac:dyDescent="0.35">
      <c r="A1032" t="s">
        <v>1866</v>
      </c>
      <c r="B1032" t="s">
        <v>1867</v>
      </c>
    </row>
    <row r="1033" spans="1:2" x14ac:dyDescent="0.35">
      <c r="A1033" t="s">
        <v>1866</v>
      </c>
      <c r="B1033">
        <v>277</v>
      </c>
    </row>
    <row r="1034" spans="1:2" x14ac:dyDescent="0.35">
      <c r="A1034" t="s">
        <v>1868</v>
      </c>
      <c r="B1034" t="s">
        <v>1869</v>
      </c>
    </row>
    <row r="1035" spans="1:2" x14ac:dyDescent="0.35">
      <c r="A1035" t="s">
        <v>1868</v>
      </c>
      <c r="B1035">
        <v>1828</v>
      </c>
    </row>
    <row r="1036" spans="1:2" x14ac:dyDescent="0.35">
      <c r="A1036" t="s">
        <v>1870</v>
      </c>
      <c r="B1036">
        <v>1085</v>
      </c>
    </row>
    <row r="1037" spans="1:2" x14ac:dyDescent="0.35">
      <c r="A1037" t="s">
        <v>1871</v>
      </c>
      <c r="B1037">
        <v>1851</v>
      </c>
    </row>
    <row r="1038" spans="1:2" x14ac:dyDescent="0.35">
      <c r="A1038" t="s">
        <v>1872</v>
      </c>
      <c r="B1038">
        <v>709</v>
      </c>
    </row>
    <row r="1039" spans="1:2" x14ac:dyDescent="0.35">
      <c r="A1039" t="s">
        <v>1873</v>
      </c>
      <c r="B1039">
        <v>1915</v>
      </c>
    </row>
    <row r="1040" spans="1:2" x14ac:dyDescent="0.35">
      <c r="A1040" t="s">
        <v>1874</v>
      </c>
      <c r="B1040">
        <v>1921</v>
      </c>
    </row>
    <row r="1041" spans="1:2" x14ac:dyDescent="0.35">
      <c r="A1041" t="s">
        <v>1875</v>
      </c>
      <c r="B1041">
        <v>645</v>
      </c>
    </row>
    <row r="1042" spans="1:2" x14ac:dyDescent="0.35">
      <c r="A1042" t="s">
        <v>1876</v>
      </c>
      <c r="B1042">
        <v>1379</v>
      </c>
    </row>
    <row r="1043" spans="1:2" x14ac:dyDescent="0.35">
      <c r="A1043" t="s">
        <v>1877</v>
      </c>
      <c r="B1043">
        <v>1604</v>
      </c>
    </row>
    <row r="1044" spans="1:2" x14ac:dyDescent="0.35">
      <c r="A1044" t="s">
        <v>1878</v>
      </c>
      <c r="B1044">
        <v>953</v>
      </c>
    </row>
    <row r="1045" spans="1:2" x14ac:dyDescent="0.35">
      <c r="A1045" t="s">
        <v>1879</v>
      </c>
      <c r="B1045" t="s">
        <v>1880</v>
      </c>
    </row>
    <row r="1046" spans="1:2" x14ac:dyDescent="0.35">
      <c r="A1046" t="s">
        <v>1879</v>
      </c>
      <c r="B1046">
        <v>536</v>
      </c>
    </row>
    <row r="1047" spans="1:2" x14ac:dyDescent="0.35">
      <c r="A1047" t="s">
        <v>1881</v>
      </c>
      <c r="B1047" t="s">
        <v>1882</v>
      </c>
    </row>
    <row r="1048" spans="1:2" x14ac:dyDescent="0.35">
      <c r="A1048" t="s">
        <v>1881</v>
      </c>
      <c r="B1048">
        <v>1587</v>
      </c>
    </row>
    <row r="1049" spans="1:2" x14ac:dyDescent="0.35">
      <c r="A1049" t="s">
        <v>1883</v>
      </c>
      <c r="B1049" t="s">
        <v>1884</v>
      </c>
    </row>
    <row r="1050" spans="1:2" x14ac:dyDescent="0.35">
      <c r="A1050" t="s">
        <v>1883</v>
      </c>
      <c r="B1050">
        <v>679</v>
      </c>
    </row>
    <row r="1051" spans="1:2" x14ac:dyDescent="0.35">
      <c r="A1051" t="s">
        <v>1885</v>
      </c>
      <c r="B1051">
        <v>185</v>
      </c>
    </row>
    <row r="1052" spans="1:2" x14ac:dyDescent="0.35">
      <c r="A1052" t="s">
        <v>1886</v>
      </c>
      <c r="B1052" t="s">
        <v>1887</v>
      </c>
    </row>
    <row r="1053" spans="1:2" x14ac:dyDescent="0.35">
      <c r="A1053" t="s">
        <v>1886</v>
      </c>
      <c r="B1053">
        <v>1147</v>
      </c>
    </row>
    <row r="1054" spans="1:2" x14ac:dyDescent="0.35">
      <c r="A1054" t="s">
        <v>1888</v>
      </c>
      <c r="B1054">
        <v>1613</v>
      </c>
    </row>
    <row r="1055" spans="1:2" x14ac:dyDescent="0.35">
      <c r="A1055" t="s">
        <v>1889</v>
      </c>
      <c r="B1055" t="s">
        <v>1890</v>
      </c>
    </row>
    <row r="1056" spans="1:2" x14ac:dyDescent="0.35">
      <c r="A1056" t="s">
        <v>1889</v>
      </c>
      <c r="B1056">
        <v>1272</v>
      </c>
    </row>
    <row r="1057" spans="1:2" x14ac:dyDescent="0.35">
      <c r="A1057" t="s">
        <v>1891</v>
      </c>
      <c r="B1057">
        <v>552</v>
      </c>
    </row>
    <row r="1058" spans="1:2" x14ac:dyDescent="0.35">
      <c r="A1058" t="s">
        <v>1892</v>
      </c>
      <c r="B1058" t="s">
        <v>1893</v>
      </c>
    </row>
    <row r="1059" spans="1:2" x14ac:dyDescent="0.35">
      <c r="A1059" t="s">
        <v>1892</v>
      </c>
      <c r="B1059">
        <v>1731</v>
      </c>
    </row>
    <row r="1060" spans="1:2" x14ac:dyDescent="0.35">
      <c r="A1060" t="s">
        <v>1894</v>
      </c>
      <c r="B1060" t="s">
        <v>1895</v>
      </c>
    </row>
    <row r="1061" spans="1:2" x14ac:dyDescent="0.35">
      <c r="A1061" t="s">
        <v>1894</v>
      </c>
      <c r="B1061">
        <v>1739</v>
      </c>
    </row>
    <row r="1062" spans="1:2" x14ac:dyDescent="0.35">
      <c r="A1062" t="s">
        <v>1896</v>
      </c>
      <c r="B1062" t="s">
        <v>1897</v>
      </c>
    </row>
    <row r="1063" spans="1:2" x14ac:dyDescent="0.35">
      <c r="A1063" t="s">
        <v>1896</v>
      </c>
      <c r="B1063">
        <v>2045</v>
      </c>
    </row>
    <row r="1064" spans="1:2" x14ac:dyDescent="0.35">
      <c r="A1064" t="s">
        <v>1898</v>
      </c>
      <c r="B1064" t="s">
        <v>1899</v>
      </c>
    </row>
    <row r="1065" spans="1:2" x14ac:dyDescent="0.35">
      <c r="A1065" t="s">
        <v>1898</v>
      </c>
      <c r="B1065">
        <v>1148</v>
      </c>
    </row>
    <row r="1066" spans="1:2" x14ac:dyDescent="0.35">
      <c r="A1066" t="s">
        <v>1900</v>
      </c>
      <c r="B1066" t="s">
        <v>1901</v>
      </c>
    </row>
    <row r="1067" spans="1:2" x14ac:dyDescent="0.35">
      <c r="A1067" t="s">
        <v>1902</v>
      </c>
      <c r="B1067" t="s">
        <v>1903</v>
      </c>
    </row>
    <row r="1068" spans="1:2" x14ac:dyDescent="0.35">
      <c r="A1068" t="s">
        <v>1902</v>
      </c>
      <c r="B1068">
        <v>1468</v>
      </c>
    </row>
    <row r="1069" spans="1:2" x14ac:dyDescent="0.35">
      <c r="A1069" t="s">
        <v>1904</v>
      </c>
      <c r="B1069" t="s">
        <v>1905</v>
      </c>
    </row>
    <row r="1070" spans="1:2" x14ac:dyDescent="0.35">
      <c r="A1070" t="s">
        <v>1904</v>
      </c>
      <c r="B1070">
        <v>2111</v>
      </c>
    </row>
    <row r="1071" spans="1:2" x14ac:dyDescent="0.35">
      <c r="A1071" t="s">
        <v>1906</v>
      </c>
      <c r="B1071">
        <v>1244</v>
      </c>
    </row>
    <row r="1072" spans="1:2" x14ac:dyDescent="0.35">
      <c r="A1072" t="s">
        <v>1907</v>
      </c>
      <c r="B1072" t="s">
        <v>1908</v>
      </c>
    </row>
    <row r="1073" spans="1:2" x14ac:dyDescent="0.35">
      <c r="A1073" t="s">
        <v>1907</v>
      </c>
      <c r="B1073">
        <v>1326</v>
      </c>
    </row>
    <row r="1074" spans="1:2" x14ac:dyDescent="0.35">
      <c r="A1074" t="s">
        <v>1909</v>
      </c>
      <c r="B1074">
        <v>512</v>
      </c>
    </row>
    <row r="1075" spans="1:2" x14ac:dyDescent="0.35">
      <c r="A1075" t="s">
        <v>1910</v>
      </c>
      <c r="B1075">
        <v>2133</v>
      </c>
    </row>
    <row r="1076" spans="1:2" x14ac:dyDescent="0.35">
      <c r="A1076" t="s">
        <v>1911</v>
      </c>
      <c r="B1076">
        <v>1572</v>
      </c>
    </row>
    <row r="1077" spans="1:2" x14ac:dyDescent="0.35">
      <c r="A1077" t="s">
        <v>1912</v>
      </c>
      <c r="B1077">
        <v>1599</v>
      </c>
    </row>
    <row r="1078" spans="1:2" x14ac:dyDescent="0.35">
      <c r="A1078" t="s">
        <v>1913</v>
      </c>
      <c r="B1078">
        <v>2039</v>
      </c>
    </row>
    <row r="1079" spans="1:2" x14ac:dyDescent="0.35">
      <c r="A1079" t="s">
        <v>1914</v>
      </c>
      <c r="B1079">
        <v>1878</v>
      </c>
    </row>
    <row r="1080" spans="1:2" x14ac:dyDescent="0.35">
      <c r="A1080" t="s">
        <v>1915</v>
      </c>
      <c r="B1080" t="s">
        <v>1916</v>
      </c>
    </row>
    <row r="1081" spans="1:2" x14ac:dyDescent="0.35">
      <c r="A1081" t="s">
        <v>1915</v>
      </c>
      <c r="B1081">
        <v>1436</v>
      </c>
    </row>
    <row r="1082" spans="1:2" x14ac:dyDescent="0.35">
      <c r="A1082" t="s">
        <v>1917</v>
      </c>
      <c r="B1082">
        <v>2007</v>
      </c>
    </row>
    <row r="1083" spans="1:2" x14ac:dyDescent="0.35">
      <c r="A1083" t="s">
        <v>1918</v>
      </c>
      <c r="B1083">
        <v>228</v>
      </c>
    </row>
    <row r="1084" spans="1:2" x14ac:dyDescent="0.35">
      <c r="A1084" t="s">
        <v>1919</v>
      </c>
      <c r="B1084">
        <v>1642</v>
      </c>
    </row>
    <row r="1085" spans="1:2" x14ac:dyDescent="0.35">
      <c r="A1085" t="s">
        <v>1920</v>
      </c>
      <c r="B1085" t="s">
        <v>1921</v>
      </c>
    </row>
    <row r="1086" spans="1:2" x14ac:dyDescent="0.35">
      <c r="A1086" t="s">
        <v>1920</v>
      </c>
      <c r="B1086">
        <v>1723</v>
      </c>
    </row>
    <row r="1087" spans="1:2" x14ac:dyDescent="0.35">
      <c r="A1087" t="s">
        <v>1922</v>
      </c>
      <c r="B1087" t="s">
        <v>1923</v>
      </c>
    </row>
    <row r="1088" spans="1:2" x14ac:dyDescent="0.35">
      <c r="A1088" t="s">
        <v>1922</v>
      </c>
      <c r="B1088">
        <v>882</v>
      </c>
    </row>
    <row r="1089" spans="1:2" x14ac:dyDescent="0.35">
      <c r="A1089" t="s">
        <v>1924</v>
      </c>
      <c r="B1089">
        <v>2192</v>
      </c>
    </row>
    <row r="1090" spans="1:2" x14ac:dyDescent="0.35">
      <c r="A1090" t="s">
        <v>1925</v>
      </c>
      <c r="B1090">
        <v>1509</v>
      </c>
    </row>
    <row r="1091" spans="1:2" x14ac:dyDescent="0.35">
      <c r="A1091" t="s">
        <v>1926</v>
      </c>
      <c r="B1091" t="s">
        <v>1927</v>
      </c>
    </row>
    <row r="1092" spans="1:2" x14ac:dyDescent="0.35">
      <c r="A1092" t="s">
        <v>1926</v>
      </c>
      <c r="B1092">
        <v>507</v>
      </c>
    </row>
    <row r="1093" spans="1:2" x14ac:dyDescent="0.35">
      <c r="A1093" t="s">
        <v>1928</v>
      </c>
      <c r="B1093" t="s">
        <v>1929</v>
      </c>
    </row>
    <row r="1094" spans="1:2" x14ac:dyDescent="0.35">
      <c r="A1094" t="s">
        <v>1928</v>
      </c>
      <c r="B1094">
        <v>1801</v>
      </c>
    </row>
    <row r="1095" spans="1:2" x14ac:dyDescent="0.35">
      <c r="A1095" t="s">
        <v>1930</v>
      </c>
      <c r="B1095" t="s">
        <v>1931</v>
      </c>
    </row>
    <row r="1096" spans="1:2" x14ac:dyDescent="0.35">
      <c r="A1096" t="s">
        <v>1930</v>
      </c>
      <c r="B1096">
        <v>1258</v>
      </c>
    </row>
    <row r="1097" spans="1:2" x14ac:dyDescent="0.35">
      <c r="A1097" t="s">
        <v>1932</v>
      </c>
      <c r="B1097" t="s">
        <v>1933</v>
      </c>
    </row>
    <row r="1098" spans="1:2" x14ac:dyDescent="0.35">
      <c r="A1098" t="s">
        <v>1932</v>
      </c>
      <c r="B1098">
        <v>1370</v>
      </c>
    </row>
    <row r="1099" spans="1:2" x14ac:dyDescent="0.35">
      <c r="A1099" t="s">
        <v>1934</v>
      </c>
      <c r="B1099" t="s">
        <v>1935</v>
      </c>
    </row>
    <row r="1100" spans="1:2" x14ac:dyDescent="0.35">
      <c r="A1100" t="s">
        <v>1934</v>
      </c>
      <c r="B1100">
        <v>1156</v>
      </c>
    </row>
    <row r="1101" spans="1:2" x14ac:dyDescent="0.35">
      <c r="A1101" t="s">
        <v>1936</v>
      </c>
      <c r="B1101" t="s">
        <v>1937</v>
      </c>
    </row>
    <row r="1102" spans="1:2" x14ac:dyDescent="0.35">
      <c r="A1102" t="s">
        <v>1936</v>
      </c>
      <c r="B1102">
        <v>744</v>
      </c>
    </row>
    <row r="1103" spans="1:2" x14ac:dyDescent="0.35">
      <c r="A1103" t="s">
        <v>1938</v>
      </c>
      <c r="B1103">
        <v>621</v>
      </c>
    </row>
    <row r="1104" spans="1:2" x14ac:dyDescent="0.35">
      <c r="A1104" t="s">
        <v>1939</v>
      </c>
      <c r="B1104" t="s">
        <v>1940</v>
      </c>
    </row>
    <row r="1105" spans="1:2" x14ac:dyDescent="0.35">
      <c r="A1105" t="s">
        <v>1939</v>
      </c>
      <c r="B1105">
        <v>4</v>
      </c>
    </row>
    <row r="1106" spans="1:2" x14ac:dyDescent="0.35">
      <c r="A1106" t="s">
        <v>1941</v>
      </c>
      <c r="B1106" t="s">
        <v>1942</v>
      </c>
    </row>
    <row r="1107" spans="1:2" x14ac:dyDescent="0.35">
      <c r="A1107" t="s">
        <v>1941</v>
      </c>
      <c r="B1107">
        <v>115</v>
      </c>
    </row>
    <row r="1108" spans="1:2" x14ac:dyDescent="0.35">
      <c r="A1108" t="s">
        <v>1943</v>
      </c>
      <c r="B1108" t="s">
        <v>1944</v>
      </c>
    </row>
    <row r="1109" spans="1:2" x14ac:dyDescent="0.35">
      <c r="A1109" t="s">
        <v>1943</v>
      </c>
      <c r="B1109">
        <v>1271</v>
      </c>
    </row>
    <row r="1110" spans="1:2" x14ac:dyDescent="0.35">
      <c r="A1110" t="s">
        <v>1945</v>
      </c>
      <c r="B1110" t="s">
        <v>1946</v>
      </c>
    </row>
    <row r="1111" spans="1:2" x14ac:dyDescent="0.35">
      <c r="A1111" t="s">
        <v>1945</v>
      </c>
      <c r="B1111">
        <v>1201</v>
      </c>
    </row>
    <row r="1112" spans="1:2" x14ac:dyDescent="0.35">
      <c r="A1112" t="s">
        <v>1947</v>
      </c>
      <c r="B1112">
        <v>1048</v>
      </c>
    </row>
    <row r="1113" spans="1:2" x14ac:dyDescent="0.35">
      <c r="A1113" t="s">
        <v>1948</v>
      </c>
      <c r="B1113">
        <v>1261</v>
      </c>
    </row>
    <row r="1114" spans="1:2" x14ac:dyDescent="0.35">
      <c r="A1114" t="s">
        <v>1949</v>
      </c>
      <c r="B1114">
        <v>1806</v>
      </c>
    </row>
    <row r="1115" spans="1:2" x14ac:dyDescent="0.35">
      <c r="A1115" t="s">
        <v>1950</v>
      </c>
      <c r="B1115" t="s">
        <v>1951</v>
      </c>
    </row>
    <row r="1116" spans="1:2" x14ac:dyDescent="0.35">
      <c r="A1116" t="s">
        <v>1950</v>
      </c>
      <c r="B1116">
        <v>987</v>
      </c>
    </row>
    <row r="1117" spans="1:2" x14ac:dyDescent="0.35">
      <c r="A1117" t="s">
        <v>1952</v>
      </c>
      <c r="B1117" t="s">
        <v>1953</v>
      </c>
    </row>
    <row r="1118" spans="1:2" x14ac:dyDescent="0.35">
      <c r="A1118" t="s">
        <v>1952</v>
      </c>
      <c r="B1118">
        <v>144</v>
      </c>
    </row>
    <row r="1119" spans="1:2" x14ac:dyDescent="0.35">
      <c r="A1119" t="s">
        <v>1954</v>
      </c>
      <c r="B1119">
        <v>1949</v>
      </c>
    </row>
    <row r="1120" spans="1:2" x14ac:dyDescent="0.35">
      <c r="A1120" t="s">
        <v>1955</v>
      </c>
      <c r="B1120">
        <v>191</v>
      </c>
    </row>
    <row r="1121" spans="1:2" x14ac:dyDescent="0.35">
      <c r="A1121" t="s">
        <v>1956</v>
      </c>
      <c r="B1121">
        <v>1681</v>
      </c>
    </row>
    <row r="1122" spans="1:2" x14ac:dyDescent="0.35">
      <c r="A1122" t="s">
        <v>1957</v>
      </c>
      <c r="B1122" t="s">
        <v>1958</v>
      </c>
    </row>
    <row r="1123" spans="1:2" x14ac:dyDescent="0.35">
      <c r="A1123" t="s">
        <v>1957</v>
      </c>
      <c r="B1123">
        <v>1517</v>
      </c>
    </row>
    <row r="1124" spans="1:2" x14ac:dyDescent="0.35">
      <c r="A1124" t="s">
        <v>1959</v>
      </c>
      <c r="B1124" t="s">
        <v>1960</v>
      </c>
    </row>
    <row r="1125" spans="1:2" x14ac:dyDescent="0.35">
      <c r="A1125" t="s">
        <v>1959</v>
      </c>
      <c r="B1125">
        <v>1101</v>
      </c>
    </row>
    <row r="1126" spans="1:2" x14ac:dyDescent="0.35">
      <c r="A1126" t="s">
        <v>1961</v>
      </c>
      <c r="B1126" t="s">
        <v>1962</v>
      </c>
    </row>
    <row r="1127" spans="1:2" x14ac:dyDescent="0.35">
      <c r="A1127" t="s">
        <v>1961</v>
      </c>
      <c r="B1127">
        <v>362</v>
      </c>
    </row>
    <row r="1128" spans="1:2" x14ac:dyDescent="0.35">
      <c r="A1128" t="s">
        <v>1963</v>
      </c>
      <c r="B1128" t="s">
        <v>1964</v>
      </c>
    </row>
    <row r="1129" spans="1:2" x14ac:dyDescent="0.35">
      <c r="A1129" t="s">
        <v>1963</v>
      </c>
      <c r="B1129">
        <v>420</v>
      </c>
    </row>
    <row r="1130" spans="1:2" x14ac:dyDescent="0.35">
      <c r="A1130" t="s">
        <v>1965</v>
      </c>
      <c r="B1130" t="s">
        <v>1966</v>
      </c>
    </row>
    <row r="1131" spans="1:2" x14ac:dyDescent="0.35">
      <c r="A1131" t="s">
        <v>1965</v>
      </c>
      <c r="B1131">
        <v>328</v>
      </c>
    </row>
    <row r="1132" spans="1:2" x14ac:dyDescent="0.35">
      <c r="A1132" t="s">
        <v>1967</v>
      </c>
      <c r="B1132" t="s">
        <v>1968</v>
      </c>
    </row>
    <row r="1133" spans="1:2" x14ac:dyDescent="0.35">
      <c r="A1133" t="s">
        <v>1967</v>
      </c>
      <c r="B1133">
        <v>535</v>
      </c>
    </row>
    <row r="1134" spans="1:2" x14ac:dyDescent="0.35">
      <c r="A1134" t="s">
        <v>1969</v>
      </c>
      <c r="B1134" t="s">
        <v>1970</v>
      </c>
    </row>
    <row r="1135" spans="1:2" x14ac:dyDescent="0.35">
      <c r="A1135" t="s">
        <v>1969</v>
      </c>
      <c r="B1135">
        <v>1520</v>
      </c>
    </row>
    <row r="1136" spans="1:2" x14ac:dyDescent="0.35">
      <c r="A1136" t="s">
        <v>1971</v>
      </c>
      <c r="B1136" t="s">
        <v>1972</v>
      </c>
    </row>
    <row r="1137" spans="1:2" x14ac:dyDescent="0.35">
      <c r="A1137" t="s">
        <v>1973</v>
      </c>
      <c r="B1137">
        <v>1080</v>
      </c>
    </row>
    <row r="1138" spans="1:2" x14ac:dyDescent="0.35">
      <c r="A1138" t="s">
        <v>1974</v>
      </c>
      <c r="B1138" t="s">
        <v>1975</v>
      </c>
    </row>
    <row r="1139" spans="1:2" x14ac:dyDescent="0.35">
      <c r="A1139" t="s">
        <v>1974</v>
      </c>
      <c r="B1139">
        <v>2075</v>
      </c>
    </row>
    <row r="1140" spans="1:2" x14ac:dyDescent="0.35">
      <c r="A1140" t="s">
        <v>1976</v>
      </c>
      <c r="B1140" t="s">
        <v>1977</v>
      </c>
    </row>
    <row r="1141" spans="1:2" x14ac:dyDescent="0.35">
      <c r="A1141" t="s">
        <v>1976</v>
      </c>
      <c r="B1141">
        <v>401</v>
      </c>
    </row>
    <row r="1142" spans="1:2" x14ac:dyDescent="0.35">
      <c r="A1142" t="s">
        <v>1978</v>
      </c>
      <c r="B1142" t="s">
        <v>1979</v>
      </c>
    </row>
    <row r="1143" spans="1:2" x14ac:dyDescent="0.35">
      <c r="A1143" t="s">
        <v>1978</v>
      </c>
      <c r="B1143">
        <v>1663</v>
      </c>
    </row>
    <row r="1144" spans="1:2" x14ac:dyDescent="0.35">
      <c r="A1144" t="s">
        <v>1980</v>
      </c>
      <c r="B1144" t="s">
        <v>1981</v>
      </c>
    </row>
    <row r="1145" spans="1:2" x14ac:dyDescent="0.35">
      <c r="A1145" t="s">
        <v>1980</v>
      </c>
      <c r="B1145">
        <v>834</v>
      </c>
    </row>
    <row r="1146" spans="1:2" x14ac:dyDescent="0.35">
      <c r="A1146" t="s">
        <v>1982</v>
      </c>
      <c r="B1146">
        <v>1666</v>
      </c>
    </row>
    <row r="1147" spans="1:2" x14ac:dyDescent="0.35">
      <c r="A1147" t="s">
        <v>1983</v>
      </c>
      <c r="B1147">
        <v>386</v>
      </c>
    </row>
    <row r="1148" spans="1:2" x14ac:dyDescent="0.35">
      <c r="A1148" t="s">
        <v>1984</v>
      </c>
      <c r="B1148" t="s">
        <v>1985</v>
      </c>
    </row>
    <row r="1149" spans="1:2" x14ac:dyDescent="0.35">
      <c r="A1149" t="s">
        <v>1984</v>
      </c>
      <c r="B1149">
        <v>1649</v>
      </c>
    </row>
    <row r="1150" spans="1:2" x14ac:dyDescent="0.35">
      <c r="A1150" t="s">
        <v>1986</v>
      </c>
      <c r="B1150" t="s">
        <v>1987</v>
      </c>
    </row>
    <row r="1151" spans="1:2" x14ac:dyDescent="0.35">
      <c r="A1151" t="s">
        <v>1986</v>
      </c>
      <c r="B1151">
        <v>1969</v>
      </c>
    </row>
    <row r="1152" spans="1:2" x14ac:dyDescent="0.35">
      <c r="A1152" t="s">
        <v>1988</v>
      </c>
      <c r="B1152" t="s">
        <v>1989</v>
      </c>
    </row>
    <row r="1153" spans="1:2" x14ac:dyDescent="0.35">
      <c r="A1153" t="s">
        <v>1988</v>
      </c>
      <c r="B1153">
        <v>1967</v>
      </c>
    </row>
    <row r="1154" spans="1:2" x14ac:dyDescent="0.35">
      <c r="A1154" t="s">
        <v>1990</v>
      </c>
      <c r="B1154" t="s">
        <v>1991</v>
      </c>
    </row>
    <row r="1155" spans="1:2" x14ac:dyDescent="0.35">
      <c r="A1155" t="s">
        <v>1990</v>
      </c>
      <c r="B1155">
        <v>2058</v>
      </c>
    </row>
    <row r="1156" spans="1:2" x14ac:dyDescent="0.35">
      <c r="A1156" t="s">
        <v>1992</v>
      </c>
      <c r="B1156" t="s">
        <v>1993</v>
      </c>
    </row>
    <row r="1157" spans="1:2" x14ac:dyDescent="0.35">
      <c r="A1157" t="s">
        <v>1992</v>
      </c>
      <c r="B1157">
        <v>1728</v>
      </c>
    </row>
    <row r="1158" spans="1:2" x14ac:dyDescent="0.35">
      <c r="A1158" t="s">
        <v>1994</v>
      </c>
      <c r="B1158" t="s">
        <v>1995</v>
      </c>
    </row>
    <row r="1159" spans="1:2" x14ac:dyDescent="0.35">
      <c r="A1159" t="s">
        <v>1994</v>
      </c>
      <c r="B1159">
        <v>2017</v>
      </c>
    </row>
    <row r="1160" spans="1:2" x14ac:dyDescent="0.35">
      <c r="A1160" t="s">
        <v>1996</v>
      </c>
      <c r="B1160" t="s">
        <v>1997</v>
      </c>
    </row>
    <row r="1161" spans="1:2" x14ac:dyDescent="0.35">
      <c r="A1161" t="s">
        <v>1996</v>
      </c>
      <c r="B1161">
        <v>1200</v>
      </c>
    </row>
    <row r="1162" spans="1:2" x14ac:dyDescent="0.35">
      <c r="A1162" t="s">
        <v>1998</v>
      </c>
      <c r="B1162" t="s">
        <v>1999</v>
      </c>
    </row>
    <row r="1163" spans="1:2" x14ac:dyDescent="0.35">
      <c r="A1163" t="s">
        <v>1998</v>
      </c>
      <c r="B1163">
        <v>1798</v>
      </c>
    </row>
    <row r="1164" spans="1:2" x14ac:dyDescent="0.35">
      <c r="A1164" t="s">
        <v>2000</v>
      </c>
      <c r="B1164" t="s">
        <v>2001</v>
      </c>
    </row>
    <row r="1165" spans="1:2" x14ac:dyDescent="0.35">
      <c r="A1165" t="s">
        <v>2000</v>
      </c>
      <c r="B1165">
        <v>1606</v>
      </c>
    </row>
    <row r="1166" spans="1:2" x14ac:dyDescent="0.35">
      <c r="A1166" t="s">
        <v>2002</v>
      </c>
      <c r="B1166">
        <v>1650</v>
      </c>
    </row>
    <row r="1167" spans="1:2" x14ac:dyDescent="0.35">
      <c r="A1167" t="s">
        <v>2003</v>
      </c>
      <c r="B1167">
        <v>1871</v>
      </c>
    </row>
    <row r="1168" spans="1:2" x14ac:dyDescent="0.35">
      <c r="A1168" t="s">
        <v>2004</v>
      </c>
      <c r="B1168">
        <v>636</v>
      </c>
    </row>
    <row r="1169" spans="1:2" x14ac:dyDescent="0.35">
      <c r="A1169" t="s">
        <v>2005</v>
      </c>
      <c r="B1169" t="s">
        <v>2006</v>
      </c>
    </row>
    <row r="1170" spans="1:2" x14ac:dyDescent="0.35">
      <c r="A1170" t="s">
        <v>2005</v>
      </c>
      <c r="B1170">
        <v>549</v>
      </c>
    </row>
    <row r="1171" spans="1:2" x14ac:dyDescent="0.35">
      <c r="A1171" t="s">
        <v>2007</v>
      </c>
      <c r="B1171" t="s">
        <v>2008</v>
      </c>
    </row>
    <row r="1172" spans="1:2" x14ac:dyDescent="0.35">
      <c r="A1172" t="s">
        <v>2007</v>
      </c>
      <c r="B1172">
        <v>1173</v>
      </c>
    </row>
    <row r="1173" spans="1:2" x14ac:dyDescent="0.35">
      <c r="A1173" t="s">
        <v>2009</v>
      </c>
      <c r="B1173" t="s">
        <v>2010</v>
      </c>
    </row>
    <row r="1174" spans="1:2" x14ac:dyDescent="0.35">
      <c r="A1174" t="s">
        <v>2009</v>
      </c>
      <c r="B1174">
        <v>491</v>
      </c>
    </row>
    <row r="1175" spans="1:2" x14ac:dyDescent="0.35">
      <c r="A1175" t="s">
        <v>2011</v>
      </c>
      <c r="B1175">
        <v>1912</v>
      </c>
    </row>
    <row r="1176" spans="1:2" x14ac:dyDescent="0.35">
      <c r="A1176" t="s">
        <v>2012</v>
      </c>
      <c r="B1176">
        <v>1601</v>
      </c>
    </row>
    <row r="1177" spans="1:2" x14ac:dyDescent="0.35">
      <c r="A1177" t="s">
        <v>2013</v>
      </c>
      <c r="B1177">
        <v>2144</v>
      </c>
    </row>
    <row r="1178" spans="1:2" x14ac:dyDescent="0.35">
      <c r="A1178" t="s">
        <v>2014</v>
      </c>
      <c r="B1178" t="s">
        <v>2015</v>
      </c>
    </row>
    <row r="1179" spans="1:2" x14ac:dyDescent="0.35">
      <c r="A1179" t="s">
        <v>2014</v>
      </c>
      <c r="B1179">
        <v>1586</v>
      </c>
    </row>
    <row r="1180" spans="1:2" x14ac:dyDescent="0.35">
      <c r="A1180" t="s">
        <v>2016</v>
      </c>
      <c r="B1180">
        <v>1583</v>
      </c>
    </row>
    <row r="1181" spans="1:2" x14ac:dyDescent="0.35">
      <c r="A1181" t="s">
        <v>2017</v>
      </c>
      <c r="B1181" t="s">
        <v>2018</v>
      </c>
    </row>
    <row r="1182" spans="1:2" x14ac:dyDescent="0.35">
      <c r="A1182" t="s">
        <v>2017</v>
      </c>
      <c r="B1182">
        <v>1858</v>
      </c>
    </row>
    <row r="1183" spans="1:2" x14ac:dyDescent="0.35">
      <c r="A1183" t="s">
        <v>2019</v>
      </c>
      <c r="B1183">
        <v>487</v>
      </c>
    </row>
    <row r="1184" spans="1:2" x14ac:dyDescent="0.35">
      <c r="A1184" t="s">
        <v>2020</v>
      </c>
      <c r="B1184" t="s">
        <v>2021</v>
      </c>
    </row>
    <row r="1185" spans="1:2" x14ac:dyDescent="0.35">
      <c r="A1185" t="s">
        <v>2020</v>
      </c>
      <c r="B1185">
        <v>727</v>
      </c>
    </row>
    <row r="1186" spans="1:2" x14ac:dyDescent="0.35">
      <c r="A1186" t="s">
        <v>2022</v>
      </c>
      <c r="B1186" t="s">
        <v>2023</v>
      </c>
    </row>
    <row r="1187" spans="1:2" x14ac:dyDescent="0.35">
      <c r="A1187" t="s">
        <v>2022</v>
      </c>
      <c r="B1187">
        <v>482</v>
      </c>
    </row>
    <row r="1188" spans="1:2" x14ac:dyDescent="0.35">
      <c r="A1188" t="s">
        <v>2024</v>
      </c>
      <c r="B1188" t="s">
        <v>2025</v>
      </c>
    </row>
    <row r="1189" spans="1:2" x14ac:dyDescent="0.35">
      <c r="A1189" t="s">
        <v>2024</v>
      </c>
      <c r="B1189">
        <v>1164</v>
      </c>
    </row>
    <row r="1190" spans="1:2" x14ac:dyDescent="0.35">
      <c r="A1190" t="s">
        <v>2026</v>
      </c>
      <c r="B1190">
        <v>543</v>
      </c>
    </row>
    <row r="1191" spans="1:2" x14ac:dyDescent="0.35">
      <c r="A1191" t="s">
        <v>2027</v>
      </c>
      <c r="B1191">
        <v>960</v>
      </c>
    </row>
    <row r="1192" spans="1:2" x14ac:dyDescent="0.35">
      <c r="A1192" t="s">
        <v>2028</v>
      </c>
      <c r="B1192" t="s">
        <v>2029</v>
      </c>
    </row>
    <row r="1193" spans="1:2" x14ac:dyDescent="0.35">
      <c r="A1193" t="s">
        <v>2028</v>
      </c>
      <c r="B1193">
        <v>1981</v>
      </c>
    </row>
    <row r="1194" spans="1:2" x14ac:dyDescent="0.35">
      <c r="A1194" t="s">
        <v>2030</v>
      </c>
      <c r="B1194">
        <v>740</v>
      </c>
    </row>
    <row r="1195" spans="1:2" x14ac:dyDescent="0.35">
      <c r="A1195" t="s">
        <v>2031</v>
      </c>
      <c r="B1195" t="s">
        <v>2032</v>
      </c>
    </row>
    <row r="1196" spans="1:2" x14ac:dyDescent="0.35">
      <c r="A1196" t="s">
        <v>2031</v>
      </c>
      <c r="B1196">
        <v>838</v>
      </c>
    </row>
    <row r="1197" spans="1:2" x14ac:dyDescent="0.35">
      <c r="A1197" t="s">
        <v>2033</v>
      </c>
      <c r="B1197" t="s">
        <v>2034</v>
      </c>
    </row>
    <row r="1198" spans="1:2" x14ac:dyDescent="0.35">
      <c r="A1198" t="s">
        <v>2033</v>
      </c>
      <c r="B1198">
        <v>1338</v>
      </c>
    </row>
    <row r="1199" spans="1:2" x14ac:dyDescent="0.35">
      <c r="A1199" t="s">
        <v>2035</v>
      </c>
      <c r="B1199" t="s">
        <v>2036</v>
      </c>
    </row>
    <row r="1200" spans="1:2" x14ac:dyDescent="0.35">
      <c r="A1200" t="s">
        <v>2035</v>
      </c>
      <c r="B1200">
        <v>1591</v>
      </c>
    </row>
    <row r="1201" spans="1:2" x14ac:dyDescent="0.35">
      <c r="A1201" t="s">
        <v>2037</v>
      </c>
      <c r="B1201">
        <v>1895</v>
      </c>
    </row>
    <row r="1202" spans="1:2" x14ac:dyDescent="0.35">
      <c r="A1202" t="s">
        <v>2038</v>
      </c>
      <c r="B1202">
        <v>220</v>
      </c>
    </row>
    <row r="1203" spans="1:2" x14ac:dyDescent="0.35">
      <c r="A1203" t="s">
        <v>2039</v>
      </c>
      <c r="B1203">
        <v>546</v>
      </c>
    </row>
    <row r="1204" spans="1:2" x14ac:dyDescent="0.35">
      <c r="A1204" t="s">
        <v>2040</v>
      </c>
      <c r="B1204" t="s">
        <v>2041</v>
      </c>
    </row>
    <row r="1205" spans="1:2" x14ac:dyDescent="0.35">
      <c r="A1205" t="s">
        <v>2040</v>
      </c>
      <c r="B1205">
        <v>2077</v>
      </c>
    </row>
    <row r="1206" spans="1:2" x14ac:dyDescent="0.35">
      <c r="A1206" t="s">
        <v>2042</v>
      </c>
      <c r="B1206" t="s">
        <v>2043</v>
      </c>
    </row>
    <row r="1207" spans="1:2" x14ac:dyDescent="0.35">
      <c r="A1207" t="s">
        <v>2042</v>
      </c>
      <c r="B1207">
        <v>808</v>
      </c>
    </row>
    <row r="1208" spans="1:2" x14ac:dyDescent="0.35">
      <c r="A1208" t="s">
        <v>2044</v>
      </c>
      <c r="B1208">
        <v>1708</v>
      </c>
    </row>
    <row r="1209" spans="1:2" x14ac:dyDescent="0.35">
      <c r="A1209" t="s">
        <v>2045</v>
      </c>
      <c r="B1209">
        <v>2166</v>
      </c>
    </row>
    <row r="1210" spans="1:2" x14ac:dyDescent="0.35">
      <c r="A1210" t="s">
        <v>2046</v>
      </c>
      <c r="B1210">
        <v>2172</v>
      </c>
    </row>
    <row r="1211" spans="1:2" x14ac:dyDescent="0.35">
      <c r="A1211" t="s">
        <v>2047</v>
      </c>
      <c r="B1211">
        <v>1975</v>
      </c>
    </row>
    <row r="1212" spans="1:2" x14ac:dyDescent="0.35">
      <c r="A1212" t="s">
        <v>2048</v>
      </c>
      <c r="B1212" t="s">
        <v>2049</v>
      </c>
    </row>
    <row r="1213" spans="1:2" x14ac:dyDescent="0.35">
      <c r="A1213" t="s">
        <v>2048</v>
      </c>
      <c r="B1213">
        <v>1993</v>
      </c>
    </row>
    <row r="1214" spans="1:2" x14ac:dyDescent="0.35">
      <c r="A1214" t="s">
        <v>2050</v>
      </c>
      <c r="B1214">
        <v>2171</v>
      </c>
    </row>
    <row r="1215" spans="1:2" x14ac:dyDescent="0.35">
      <c r="A1215" t="s">
        <v>2051</v>
      </c>
      <c r="B1215">
        <v>1213</v>
      </c>
    </row>
    <row r="1216" spans="1:2" x14ac:dyDescent="0.35">
      <c r="A1216" t="s">
        <v>2052</v>
      </c>
      <c r="B1216">
        <v>1336</v>
      </c>
    </row>
    <row r="1217" spans="1:2" x14ac:dyDescent="0.35">
      <c r="A1217" t="s">
        <v>2053</v>
      </c>
      <c r="B1217">
        <v>1490</v>
      </c>
    </row>
    <row r="1218" spans="1:2" x14ac:dyDescent="0.35">
      <c r="A1218" t="s">
        <v>2054</v>
      </c>
      <c r="B1218">
        <v>1772</v>
      </c>
    </row>
    <row r="1219" spans="1:2" x14ac:dyDescent="0.35">
      <c r="A1219" t="s">
        <v>2055</v>
      </c>
      <c r="B1219" t="s">
        <v>2056</v>
      </c>
    </row>
    <row r="1220" spans="1:2" x14ac:dyDescent="0.35">
      <c r="A1220" t="s">
        <v>2055</v>
      </c>
      <c r="B1220">
        <v>2156</v>
      </c>
    </row>
    <row r="1221" spans="1:2" x14ac:dyDescent="0.35">
      <c r="A1221" t="s">
        <v>2057</v>
      </c>
      <c r="B1221" t="s">
        <v>2058</v>
      </c>
    </row>
    <row r="1222" spans="1:2" x14ac:dyDescent="0.35">
      <c r="A1222" t="s">
        <v>2057</v>
      </c>
      <c r="B1222">
        <v>613</v>
      </c>
    </row>
    <row r="1223" spans="1:2" x14ac:dyDescent="0.35">
      <c r="A1223" t="s">
        <v>2059</v>
      </c>
      <c r="B1223" t="s">
        <v>2060</v>
      </c>
    </row>
    <row r="1224" spans="1:2" x14ac:dyDescent="0.35">
      <c r="A1224" t="s">
        <v>2059</v>
      </c>
      <c r="B1224">
        <v>644</v>
      </c>
    </row>
    <row r="1225" spans="1:2" x14ac:dyDescent="0.35">
      <c r="A1225" t="s">
        <v>2061</v>
      </c>
      <c r="B1225" t="s">
        <v>2062</v>
      </c>
    </row>
    <row r="1226" spans="1:2" x14ac:dyDescent="0.35">
      <c r="A1226" t="s">
        <v>2061</v>
      </c>
      <c r="B1226">
        <v>373</v>
      </c>
    </row>
    <row r="1227" spans="1:2" x14ac:dyDescent="0.35">
      <c r="A1227" t="s">
        <v>2063</v>
      </c>
      <c r="B1227" t="s">
        <v>2064</v>
      </c>
    </row>
    <row r="1228" spans="1:2" x14ac:dyDescent="0.35">
      <c r="A1228" t="s">
        <v>2063</v>
      </c>
      <c r="B1228">
        <v>1068</v>
      </c>
    </row>
    <row r="1229" spans="1:2" x14ac:dyDescent="0.35">
      <c r="A1229" t="s">
        <v>2065</v>
      </c>
      <c r="B1229" t="s">
        <v>2066</v>
      </c>
    </row>
    <row r="1230" spans="1:2" x14ac:dyDescent="0.35">
      <c r="A1230" t="s">
        <v>2065</v>
      </c>
      <c r="B1230">
        <v>1790</v>
      </c>
    </row>
    <row r="1231" spans="1:2" x14ac:dyDescent="0.35">
      <c r="A1231" t="s">
        <v>2067</v>
      </c>
      <c r="B1231">
        <v>2138</v>
      </c>
    </row>
    <row r="1232" spans="1:2" x14ac:dyDescent="0.35">
      <c r="A1232" t="s">
        <v>2068</v>
      </c>
      <c r="B1232" t="s">
        <v>2069</v>
      </c>
    </row>
    <row r="1233" spans="1:2" x14ac:dyDescent="0.35">
      <c r="A1233" t="s">
        <v>2068</v>
      </c>
      <c r="B1233">
        <v>723</v>
      </c>
    </row>
    <row r="1234" spans="1:2" x14ac:dyDescent="0.35">
      <c r="A1234" t="s">
        <v>2070</v>
      </c>
      <c r="B1234" t="s">
        <v>2071</v>
      </c>
    </row>
    <row r="1235" spans="1:2" x14ac:dyDescent="0.35">
      <c r="A1235" t="s">
        <v>2070</v>
      </c>
      <c r="B1235">
        <v>1697</v>
      </c>
    </row>
    <row r="1236" spans="1:2" x14ac:dyDescent="0.35">
      <c r="A1236" t="s">
        <v>2072</v>
      </c>
      <c r="B1236" t="s">
        <v>2073</v>
      </c>
    </row>
    <row r="1237" spans="1:2" x14ac:dyDescent="0.35">
      <c r="A1237" t="s">
        <v>2072</v>
      </c>
      <c r="B1237">
        <v>171</v>
      </c>
    </row>
    <row r="1238" spans="1:2" x14ac:dyDescent="0.35">
      <c r="A1238" t="s">
        <v>2074</v>
      </c>
      <c r="B1238" t="s">
        <v>2075</v>
      </c>
    </row>
    <row r="1239" spans="1:2" x14ac:dyDescent="0.35">
      <c r="A1239" t="s">
        <v>2074</v>
      </c>
      <c r="B1239">
        <v>1504</v>
      </c>
    </row>
    <row r="1240" spans="1:2" x14ac:dyDescent="0.35">
      <c r="A1240" t="s">
        <v>2076</v>
      </c>
      <c r="B1240" t="s">
        <v>2077</v>
      </c>
    </row>
    <row r="1241" spans="1:2" x14ac:dyDescent="0.35">
      <c r="A1241" t="s">
        <v>2076</v>
      </c>
      <c r="B1241">
        <v>503</v>
      </c>
    </row>
    <row r="1242" spans="1:2" x14ac:dyDescent="0.35">
      <c r="A1242" t="s">
        <v>2078</v>
      </c>
      <c r="B1242" t="s">
        <v>2079</v>
      </c>
    </row>
    <row r="1243" spans="1:2" x14ac:dyDescent="0.35">
      <c r="A1243" t="s">
        <v>2078</v>
      </c>
      <c r="B1243">
        <v>1862</v>
      </c>
    </row>
    <row r="1244" spans="1:2" x14ac:dyDescent="0.35">
      <c r="A1244" t="s">
        <v>2080</v>
      </c>
      <c r="B1244" t="s">
        <v>2081</v>
      </c>
    </row>
    <row r="1245" spans="1:2" x14ac:dyDescent="0.35">
      <c r="A1245" t="s">
        <v>2080</v>
      </c>
      <c r="B1245">
        <v>1051</v>
      </c>
    </row>
    <row r="1246" spans="1:2" x14ac:dyDescent="0.35">
      <c r="A1246" t="s">
        <v>2082</v>
      </c>
      <c r="B1246" t="s">
        <v>2083</v>
      </c>
    </row>
    <row r="1247" spans="1:2" x14ac:dyDescent="0.35">
      <c r="A1247" t="s">
        <v>2082</v>
      </c>
      <c r="B1247">
        <v>1267</v>
      </c>
    </row>
    <row r="1248" spans="1:2" x14ac:dyDescent="0.35">
      <c r="A1248" t="s">
        <v>2084</v>
      </c>
      <c r="B1248" t="s">
        <v>2085</v>
      </c>
    </row>
    <row r="1249" spans="1:2" x14ac:dyDescent="0.35">
      <c r="A1249" t="s">
        <v>2084</v>
      </c>
      <c r="B1249">
        <v>573</v>
      </c>
    </row>
    <row r="1250" spans="1:2" x14ac:dyDescent="0.35">
      <c r="A1250" t="s">
        <v>2086</v>
      </c>
      <c r="B1250" t="s">
        <v>2087</v>
      </c>
    </row>
    <row r="1251" spans="1:2" x14ac:dyDescent="0.35">
      <c r="A1251" t="s">
        <v>2086</v>
      </c>
      <c r="B1251">
        <v>49</v>
      </c>
    </row>
    <row r="1252" spans="1:2" x14ac:dyDescent="0.35">
      <c r="A1252" t="s">
        <v>2088</v>
      </c>
      <c r="B1252" t="s">
        <v>2089</v>
      </c>
    </row>
    <row r="1253" spans="1:2" x14ac:dyDescent="0.35">
      <c r="A1253" t="s">
        <v>2088</v>
      </c>
      <c r="B1253">
        <v>668</v>
      </c>
    </row>
    <row r="1254" spans="1:2" x14ac:dyDescent="0.35">
      <c r="A1254" t="s">
        <v>2090</v>
      </c>
      <c r="B1254">
        <v>1026</v>
      </c>
    </row>
    <row r="1255" spans="1:2" x14ac:dyDescent="0.35">
      <c r="A1255" t="s">
        <v>2091</v>
      </c>
      <c r="B1255" t="s">
        <v>2092</v>
      </c>
    </row>
    <row r="1256" spans="1:2" x14ac:dyDescent="0.35">
      <c r="A1256" t="s">
        <v>2091</v>
      </c>
      <c r="B1256">
        <v>1482</v>
      </c>
    </row>
    <row r="1257" spans="1:2" x14ac:dyDescent="0.35">
      <c r="A1257" t="s">
        <v>2093</v>
      </c>
      <c r="B1257" t="s">
        <v>2094</v>
      </c>
    </row>
    <row r="1258" spans="1:2" x14ac:dyDescent="0.35">
      <c r="A1258" t="s">
        <v>2093</v>
      </c>
      <c r="B1258">
        <v>1940</v>
      </c>
    </row>
    <row r="1259" spans="1:2" x14ac:dyDescent="0.35">
      <c r="A1259" t="s">
        <v>2095</v>
      </c>
      <c r="B1259" t="s">
        <v>2096</v>
      </c>
    </row>
    <row r="1260" spans="1:2" x14ac:dyDescent="0.35">
      <c r="A1260" t="s">
        <v>2095</v>
      </c>
      <c r="B1260">
        <v>21</v>
      </c>
    </row>
    <row r="1261" spans="1:2" x14ac:dyDescent="0.35">
      <c r="A1261" t="s">
        <v>2097</v>
      </c>
      <c r="B1261" t="s">
        <v>2098</v>
      </c>
    </row>
    <row r="1262" spans="1:2" x14ac:dyDescent="0.35">
      <c r="A1262" t="s">
        <v>2097</v>
      </c>
      <c r="B1262">
        <v>419</v>
      </c>
    </row>
    <row r="1263" spans="1:2" x14ac:dyDescent="0.35">
      <c r="A1263" t="s">
        <v>2099</v>
      </c>
      <c r="B1263" t="s">
        <v>2100</v>
      </c>
    </row>
    <row r="1264" spans="1:2" x14ac:dyDescent="0.35">
      <c r="A1264" t="s">
        <v>2099</v>
      </c>
      <c r="B1264">
        <v>1033</v>
      </c>
    </row>
    <row r="1265" spans="1:2" x14ac:dyDescent="0.35">
      <c r="A1265" t="s">
        <v>2101</v>
      </c>
      <c r="B1265" t="s">
        <v>2102</v>
      </c>
    </row>
    <row r="1266" spans="1:2" x14ac:dyDescent="0.35">
      <c r="A1266" t="s">
        <v>2101</v>
      </c>
      <c r="B1266">
        <v>1598</v>
      </c>
    </row>
    <row r="1267" spans="1:2" x14ac:dyDescent="0.35">
      <c r="A1267" t="s">
        <v>2103</v>
      </c>
      <c r="B1267" t="s">
        <v>2104</v>
      </c>
    </row>
    <row r="1268" spans="1:2" x14ac:dyDescent="0.35">
      <c r="A1268" t="s">
        <v>2103</v>
      </c>
      <c r="B1268">
        <v>1161</v>
      </c>
    </row>
    <row r="1269" spans="1:2" x14ac:dyDescent="0.35">
      <c r="A1269" t="s">
        <v>2105</v>
      </c>
      <c r="B1269" t="s">
        <v>2106</v>
      </c>
    </row>
    <row r="1270" spans="1:2" x14ac:dyDescent="0.35">
      <c r="A1270" t="s">
        <v>2105</v>
      </c>
      <c r="B1270">
        <v>2056</v>
      </c>
    </row>
    <row r="1271" spans="1:2" x14ac:dyDescent="0.35">
      <c r="A1271" t="s">
        <v>2107</v>
      </c>
      <c r="B1271">
        <v>1182</v>
      </c>
    </row>
    <row r="1272" spans="1:2" x14ac:dyDescent="0.35">
      <c r="A1272" t="s">
        <v>2108</v>
      </c>
      <c r="B1272" t="s">
        <v>2109</v>
      </c>
    </row>
    <row r="1273" spans="1:2" x14ac:dyDescent="0.35">
      <c r="A1273" t="s">
        <v>2108</v>
      </c>
      <c r="B1273">
        <v>820</v>
      </c>
    </row>
    <row r="1274" spans="1:2" x14ac:dyDescent="0.35">
      <c r="A1274" t="s">
        <v>2110</v>
      </c>
      <c r="B1274">
        <v>51</v>
      </c>
    </row>
    <row r="1275" spans="1:2" x14ac:dyDescent="0.35">
      <c r="A1275" t="s">
        <v>2111</v>
      </c>
      <c r="B1275">
        <v>881</v>
      </c>
    </row>
    <row r="1276" spans="1:2" x14ac:dyDescent="0.35">
      <c r="A1276" t="s">
        <v>2112</v>
      </c>
      <c r="B1276" t="s">
        <v>2113</v>
      </c>
    </row>
    <row r="1277" spans="1:2" x14ac:dyDescent="0.35">
      <c r="A1277" t="s">
        <v>2112</v>
      </c>
      <c r="B1277">
        <v>1568</v>
      </c>
    </row>
    <row r="1278" spans="1:2" x14ac:dyDescent="0.35">
      <c r="A1278" t="s">
        <v>2114</v>
      </c>
      <c r="B1278" t="s">
        <v>2115</v>
      </c>
    </row>
    <row r="1279" spans="1:2" x14ac:dyDescent="0.35">
      <c r="A1279" t="s">
        <v>2114</v>
      </c>
      <c r="B1279">
        <v>329</v>
      </c>
    </row>
    <row r="1280" spans="1:2" x14ac:dyDescent="0.35">
      <c r="A1280" t="s">
        <v>2116</v>
      </c>
      <c r="B1280" t="s">
        <v>2117</v>
      </c>
    </row>
    <row r="1281" spans="1:2" x14ac:dyDescent="0.35">
      <c r="A1281" t="s">
        <v>2116</v>
      </c>
      <c r="B1281">
        <v>1898</v>
      </c>
    </row>
    <row r="1282" spans="1:2" x14ac:dyDescent="0.35">
      <c r="A1282" t="s">
        <v>2118</v>
      </c>
      <c r="B1282" t="s">
        <v>2119</v>
      </c>
    </row>
    <row r="1283" spans="1:2" x14ac:dyDescent="0.35">
      <c r="A1283" t="s">
        <v>2118</v>
      </c>
      <c r="B1283">
        <v>230</v>
      </c>
    </row>
    <row r="1284" spans="1:2" x14ac:dyDescent="0.35">
      <c r="A1284" t="s">
        <v>2120</v>
      </c>
      <c r="B1284" t="s">
        <v>2121</v>
      </c>
    </row>
    <row r="1285" spans="1:2" x14ac:dyDescent="0.35">
      <c r="A1285" t="s">
        <v>2120</v>
      </c>
      <c r="B1285">
        <v>46</v>
      </c>
    </row>
    <row r="1286" spans="1:2" x14ac:dyDescent="0.35">
      <c r="A1286" t="s">
        <v>2122</v>
      </c>
      <c r="B1286" t="s">
        <v>2123</v>
      </c>
    </row>
    <row r="1287" spans="1:2" x14ac:dyDescent="0.35">
      <c r="A1287" t="s">
        <v>2122</v>
      </c>
      <c r="B1287">
        <v>1677</v>
      </c>
    </row>
    <row r="1288" spans="1:2" x14ac:dyDescent="0.35">
      <c r="A1288" t="s">
        <v>2124</v>
      </c>
      <c r="B1288" t="s">
        <v>2125</v>
      </c>
    </row>
    <row r="1289" spans="1:2" x14ac:dyDescent="0.35">
      <c r="A1289" t="s">
        <v>2124</v>
      </c>
      <c r="B1289">
        <v>992</v>
      </c>
    </row>
    <row r="1290" spans="1:2" x14ac:dyDescent="0.35">
      <c r="A1290" t="s">
        <v>2126</v>
      </c>
      <c r="B1290" t="s">
        <v>2127</v>
      </c>
    </row>
    <row r="1291" spans="1:2" x14ac:dyDescent="0.35">
      <c r="A1291" t="s">
        <v>2126</v>
      </c>
      <c r="B1291">
        <v>1564</v>
      </c>
    </row>
    <row r="1292" spans="1:2" x14ac:dyDescent="0.35">
      <c r="A1292" t="s">
        <v>2128</v>
      </c>
      <c r="B1292" t="s">
        <v>2129</v>
      </c>
    </row>
    <row r="1293" spans="1:2" x14ac:dyDescent="0.35">
      <c r="A1293" t="s">
        <v>2128</v>
      </c>
      <c r="B1293">
        <v>2115</v>
      </c>
    </row>
    <row r="1294" spans="1:2" x14ac:dyDescent="0.35">
      <c r="A1294" t="s">
        <v>2130</v>
      </c>
      <c r="B1294" t="s">
        <v>2131</v>
      </c>
    </row>
    <row r="1295" spans="1:2" x14ac:dyDescent="0.35">
      <c r="A1295" t="s">
        <v>2130</v>
      </c>
      <c r="B1295">
        <v>2067</v>
      </c>
    </row>
    <row r="1296" spans="1:2" x14ac:dyDescent="0.35">
      <c r="A1296" t="s">
        <v>2132</v>
      </c>
      <c r="B1296" t="s">
        <v>2133</v>
      </c>
    </row>
    <row r="1297" spans="1:2" x14ac:dyDescent="0.35">
      <c r="A1297" t="s">
        <v>2132</v>
      </c>
      <c r="B1297">
        <v>1781</v>
      </c>
    </row>
    <row r="1298" spans="1:2" x14ac:dyDescent="0.35">
      <c r="A1298" t="s">
        <v>2134</v>
      </c>
      <c r="B1298" t="s">
        <v>2135</v>
      </c>
    </row>
    <row r="1299" spans="1:2" x14ac:dyDescent="0.35">
      <c r="A1299" t="s">
        <v>2134</v>
      </c>
      <c r="B1299">
        <v>1608</v>
      </c>
    </row>
    <row r="1300" spans="1:2" x14ac:dyDescent="0.35">
      <c r="A1300" t="s">
        <v>2136</v>
      </c>
      <c r="B1300" t="s">
        <v>2137</v>
      </c>
    </row>
    <row r="1301" spans="1:2" x14ac:dyDescent="0.35">
      <c r="A1301" t="s">
        <v>2136</v>
      </c>
      <c r="B1301">
        <v>1237</v>
      </c>
    </row>
    <row r="1302" spans="1:2" x14ac:dyDescent="0.35">
      <c r="A1302" t="s">
        <v>2138</v>
      </c>
      <c r="B1302" t="s">
        <v>2139</v>
      </c>
    </row>
    <row r="1303" spans="1:2" x14ac:dyDescent="0.35">
      <c r="A1303" t="s">
        <v>2138</v>
      </c>
      <c r="B1303">
        <v>1429</v>
      </c>
    </row>
    <row r="1304" spans="1:2" x14ac:dyDescent="0.35">
      <c r="A1304" t="s">
        <v>2140</v>
      </c>
      <c r="B1304" t="s">
        <v>2141</v>
      </c>
    </row>
    <row r="1305" spans="1:2" x14ac:dyDescent="0.35">
      <c r="A1305" t="s">
        <v>2140</v>
      </c>
      <c r="B1305">
        <v>1839</v>
      </c>
    </row>
    <row r="1306" spans="1:2" x14ac:dyDescent="0.35">
      <c r="A1306" t="s">
        <v>2142</v>
      </c>
      <c r="B1306" t="s">
        <v>2143</v>
      </c>
    </row>
    <row r="1307" spans="1:2" x14ac:dyDescent="0.35">
      <c r="A1307" t="s">
        <v>2142</v>
      </c>
      <c r="B1307">
        <v>1888</v>
      </c>
    </row>
    <row r="1308" spans="1:2" x14ac:dyDescent="0.35">
      <c r="A1308" t="s">
        <v>2144</v>
      </c>
      <c r="B1308" t="s">
        <v>2145</v>
      </c>
    </row>
    <row r="1309" spans="1:2" x14ac:dyDescent="0.35">
      <c r="A1309" t="s">
        <v>2144</v>
      </c>
      <c r="B1309">
        <v>2003</v>
      </c>
    </row>
    <row r="1310" spans="1:2" x14ac:dyDescent="0.35">
      <c r="A1310" t="s">
        <v>2146</v>
      </c>
      <c r="B1310" t="s">
        <v>2147</v>
      </c>
    </row>
    <row r="1311" spans="1:2" x14ac:dyDescent="0.35">
      <c r="A1311" t="s">
        <v>2146</v>
      </c>
      <c r="B1311">
        <v>1866</v>
      </c>
    </row>
    <row r="1312" spans="1:2" x14ac:dyDescent="0.35">
      <c r="A1312" t="s">
        <v>2148</v>
      </c>
      <c r="B1312" t="s">
        <v>2149</v>
      </c>
    </row>
    <row r="1313" spans="1:2" x14ac:dyDescent="0.35">
      <c r="A1313" t="s">
        <v>2148</v>
      </c>
      <c r="B1313">
        <v>1475</v>
      </c>
    </row>
    <row r="1314" spans="1:2" x14ac:dyDescent="0.35">
      <c r="A1314" t="s">
        <v>2150</v>
      </c>
      <c r="B1314">
        <v>1315</v>
      </c>
    </row>
    <row r="1315" spans="1:2" x14ac:dyDescent="0.35">
      <c r="A1315" t="s">
        <v>2151</v>
      </c>
      <c r="B1315" t="s">
        <v>2152</v>
      </c>
    </row>
    <row r="1316" spans="1:2" x14ac:dyDescent="0.35">
      <c r="A1316" t="s">
        <v>2151</v>
      </c>
      <c r="B1316">
        <v>1008</v>
      </c>
    </row>
    <row r="1317" spans="1:2" x14ac:dyDescent="0.35">
      <c r="A1317" t="s">
        <v>2153</v>
      </c>
      <c r="B1317">
        <v>337</v>
      </c>
    </row>
    <row r="1318" spans="1:2" x14ac:dyDescent="0.35">
      <c r="A1318" t="s">
        <v>2154</v>
      </c>
      <c r="B1318">
        <v>1943</v>
      </c>
    </row>
    <row r="1319" spans="1:2" x14ac:dyDescent="0.35">
      <c r="A1319" t="s">
        <v>2155</v>
      </c>
      <c r="B1319" t="s">
        <v>2156</v>
      </c>
    </row>
    <row r="1320" spans="1:2" x14ac:dyDescent="0.35">
      <c r="A1320" t="s">
        <v>2155</v>
      </c>
      <c r="B1320">
        <v>1104</v>
      </c>
    </row>
    <row r="1321" spans="1:2" x14ac:dyDescent="0.35">
      <c r="A1321" t="s">
        <v>2157</v>
      </c>
      <c r="B1321" t="s">
        <v>2158</v>
      </c>
    </row>
    <row r="1322" spans="1:2" x14ac:dyDescent="0.35">
      <c r="A1322" t="s">
        <v>2157</v>
      </c>
      <c r="B1322">
        <v>1056</v>
      </c>
    </row>
    <row r="1323" spans="1:2" x14ac:dyDescent="0.35">
      <c r="A1323" t="s">
        <v>2159</v>
      </c>
      <c r="B1323">
        <v>126</v>
      </c>
    </row>
    <row r="1324" spans="1:2" x14ac:dyDescent="0.35">
      <c r="A1324" t="s">
        <v>2160</v>
      </c>
      <c r="B1324" t="s">
        <v>2161</v>
      </c>
    </row>
    <row r="1325" spans="1:2" x14ac:dyDescent="0.35">
      <c r="A1325" t="s">
        <v>2162</v>
      </c>
      <c r="B1325" t="s">
        <v>2163</v>
      </c>
    </row>
    <row r="1326" spans="1:2" x14ac:dyDescent="0.35">
      <c r="A1326" t="s">
        <v>2162</v>
      </c>
      <c r="B1326">
        <v>586</v>
      </c>
    </row>
    <row r="1327" spans="1:2" x14ac:dyDescent="0.35">
      <c r="A1327" t="s">
        <v>2164</v>
      </c>
      <c r="B1327" t="s">
        <v>2165</v>
      </c>
    </row>
    <row r="1328" spans="1:2" x14ac:dyDescent="0.35">
      <c r="A1328" t="s">
        <v>2164</v>
      </c>
      <c r="B1328">
        <v>1590</v>
      </c>
    </row>
    <row r="1329" spans="1:2" x14ac:dyDescent="0.35">
      <c r="A1329" t="s">
        <v>2166</v>
      </c>
      <c r="B1329" t="s">
        <v>2167</v>
      </c>
    </row>
    <row r="1330" spans="1:2" x14ac:dyDescent="0.35">
      <c r="A1330" t="s">
        <v>2166</v>
      </c>
      <c r="B1330">
        <v>1992</v>
      </c>
    </row>
    <row r="1331" spans="1:2" x14ac:dyDescent="0.35">
      <c r="A1331" t="s">
        <v>2168</v>
      </c>
      <c r="B1331" t="s">
        <v>2169</v>
      </c>
    </row>
    <row r="1332" spans="1:2" x14ac:dyDescent="0.35">
      <c r="A1332" t="s">
        <v>2168</v>
      </c>
      <c r="B1332">
        <v>2044</v>
      </c>
    </row>
    <row r="1333" spans="1:2" x14ac:dyDescent="0.35">
      <c r="A1333" t="s">
        <v>2170</v>
      </c>
      <c r="B1333" t="s">
        <v>2171</v>
      </c>
    </row>
    <row r="1334" spans="1:2" x14ac:dyDescent="0.35">
      <c r="A1334" t="s">
        <v>2170</v>
      </c>
      <c r="B1334">
        <v>972</v>
      </c>
    </row>
    <row r="1335" spans="1:2" x14ac:dyDescent="0.35">
      <c r="A1335" t="s">
        <v>2172</v>
      </c>
      <c r="B1335" t="s">
        <v>2173</v>
      </c>
    </row>
    <row r="1336" spans="1:2" x14ac:dyDescent="0.35">
      <c r="A1336" t="s">
        <v>2172</v>
      </c>
      <c r="B1336">
        <v>2150</v>
      </c>
    </row>
    <row r="1337" spans="1:2" x14ac:dyDescent="0.35">
      <c r="A1337" t="s">
        <v>2174</v>
      </c>
      <c r="B1337" t="s">
        <v>2175</v>
      </c>
    </row>
    <row r="1338" spans="1:2" x14ac:dyDescent="0.35">
      <c r="A1338" t="s">
        <v>2174</v>
      </c>
      <c r="B1338">
        <v>1310</v>
      </c>
    </row>
    <row r="1339" spans="1:2" x14ac:dyDescent="0.35">
      <c r="A1339" t="s">
        <v>2176</v>
      </c>
      <c r="B1339" t="s">
        <v>2177</v>
      </c>
    </row>
    <row r="1340" spans="1:2" x14ac:dyDescent="0.35">
      <c r="A1340" t="s">
        <v>2176</v>
      </c>
      <c r="B1340">
        <v>497</v>
      </c>
    </row>
    <row r="1341" spans="1:2" x14ac:dyDescent="0.35">
      <c r="A1341" t="s">
        <v>2178</v>
      </c>
      <c r="B1341" t="s">
        <v>2179</v>
      </c>
    </row>
    <row r="1342" spans="1:2" x14ac:dyDescent="0.35">
      <c r="A1342" t="s">
        <v>2178</v>
      </c>
      <c r="B1342">
        <v>1513</v>
      </c>
    </row>
    <row r="1343" spans="1:2" x14ac:dyDescent="0.35">
      <c r="A1343" t="s">
        <v>2180</v>
      </c>
      <c r="B1343" t="s">
        <v>2181</v>
      </c>
    </row>
    <row r="1344" spans="1:2" x14ac:dyDescent="0.35">
      <c r="A1344" t="s">
        <v>2180</v>
      </c>
      <c r="B1344">
        <v>1639</v>
      </c>
    </row>
    <row r="1345" spans="1:2" x14ac:dyDescent="0.35">
      <c r="A1345" t="s">
        <v>2182</v>
      </c>
      <c r="B1345" t="s">
        <v>2183</v>
      </c>
    </row>
    <row r="1346" spans="1:2" x14ac:dyDescent="0.35">
      <c r="A1346" t="s">
        <v>2182</v>
      </c>
      <c r="B1346">
        <v>242</v>
      </c>
    </row>
    <row r="1347" spans="1:2" x14ac:dyDescent="0.35">
      <c r="A1347" t="s">
        <v>2184</v>
      </c>
      <c r="B1347" t="s">
        <v>2185</v>
      </c>
    </row>
    <row r="1348" spans="1:2" x14ac:dyDescent="0.35">
      <c r="A1348" t="s">
        <v>2184</v>
      </c>
      <c r="B1348">
        <v>1289</v>
      </c>
    </row>
    <row r="1349" spans="1:2" x14ac:dyDescent="0.35">
      <c r="A1349" t="s">
        <v>2186</v>
      </c>
      <c r="B1349" t="s">
        <v>2187</v>
      </c>
    </row>
    <row r="1350" spans="1:2" x14ac:dyDescent="0.35">
      <c r="A1350" t="s">
        <v>2186</v>
      </c>
      <c r="B1350">
        <v>27</v>
      </c>
    </row>
    <row r="1351" spans="1:2" x14ac:dyDescent="0.35">
      <c r="A1351" t="s">
        <v>2188</v>
      </c>
      <c r="B1351" t="s">
        <v>2189</v>
      </c>
    </row>
    <row r="1352" spans="1:2" x14ac:dyDescent="0.35">
      <c r="A1352" t="s">
        <v>2188</v>
      </c>
      <c r="B1352">
        <v>2011</v>
      </c>
    </row>
    <row r="1353" spans="1:2" x14ac:dyDescent="0.35">
      <c r="A1353" t="s">
        <v>2190</v>
      </c>
      <c r="B1353" t="s">
        <v>2191</v>
      </c>
    </row>
    <row r="1354" spans="1:2" x14ac:dyDescent="0.35">
      <c r="A1354" t="s">
        <v>2190</v>
      </c>
      <c r="B1354">
        <v>989</v>
      </c>
    </row>
    <row r="1355" spans="1:2" x14ac:dyDescent="0.35">
      <c r="A1355" t="s">
        <v>2192</v>
      </c>
      <c r="B1355">
        <v>225</v>
      </c>
    </row>
    <row r="1356" spans="1:2" x14ac:dyDescent="0.35">
      <c r="A1356" t="s">
        <v>2193</v>
      </c>
      <c r="B1356" t="s">
        <v>2194</v>
      </c>
    </row>
    <row r="1357" spans="1:2" x14ac:dyDescent="0.35">
      <c r="A1357" t="s">
        <v>2193</v>
      </c>
      <c r="B1357">
        <v>2030</v>
      </c>
    </row>
    <row r="1358" spans="1:2" x14ac:dyDescent="0.35">
      <c r="A1358" t="s">
        <v>2195</v>
      </c>
      <c r="B1358" t="s">
        <v>2196</v>
      </c>
    </row>
    <row r="1359" spans="1:2" x14ac:dyDescent="0.35">
      <c r="A1359" t="s">
        <v>2195</v>
      </c>
      <c r="B1359">
        <v>993</v>
      </c>
    </row>
    <row r="1360" spans="1:2" x14ac:dyDescent="0.35">
      <c r="A1360" t="s">
        <v>2197</v>
      </c>
      <c r="B1360" t="s">
        <v>2198</v>
      </c>
    </row>
    <row r="1361" spans="1:2" x14ac:dyDescent="0.35">
      <c r="A1361" t="s">
        <v>2197</v>
      </c>
      <c r="B1361">
        <v>1304</v>
      </c>
    </row>
    <row r="1362" spans="1:2" x14ac:dyDescent="0.35">
      <c r="A1362" t="s">
        <v>2199</v>
      </c>
      <c r="B1362">
        <v>713</v>
      </c>
    </row>
    <row r="1363" spans="1:2" x14ac:dyDescent="0.35">
      <c r="A1363" t="s">
        <v>2200</v>
      </c>
      <c r="B1363">
        <v>611</v>
      </c>
    </row>
    <row r="1364" spans="1:2" x14ac:dyDescent="0.35">
      <c r="A1364" t="s">
        <v>2201</v>
      </c>
      <c r="B1364" t="s">
        <v>2202</v>
      </c>
    </row>
    <row r="1365" spans="1:2" x14ac:dyDescent="0.35">
      <c r="A1365" t="s">
        <v>2201</v>
      </c>
      <c r="B1365">
        <v>60</v>
      </c>
    </row>
    <row r="1366" spans="1:2" x14ac:dyDescent="0.35">
      <c r="A1366" t="s">
        <v>2203</v>
      </c>
      <c r="B1366" t="s">
        <v>2204</v>
      </c>
    </row>
    <row r="1367" spans="1:2" x14ac:dyDescent="0.35">
      <c r="A1367" t="s">
        <v>2203</v>
      </c>
      <c r="B1367">
        <v>53</v>
      </c>
    </row>
    <row r="1368" spans="1:2" x14ac:dyDescent="0.35">
      <c r="A1368" t="s">
        <v>2205</v>
      </c>
      <c r="B1368">
        <v>1562</v>
      </c>
    </row>
    <row r="1369" spans="1:2" x14ac:dyDescent="0.35">
      <c r="A1369" t="s">
        <v>2206</v>
      </c>
      <c r="B1369">
        <v>846</v>
      </c>
    </row>
    <row r="1370" spans="1:2" x14ac:dyDescent="0.35">
      <c r="A1370" t="s">
        <v>2207</v>
      </c>
      <c r="B1370" t="s">
        <v>2208</v>
      </c>
    </row>
    <row r="1371" spans="1:2" x14ac:dyDescent="0.35">
      <c r="A1371" t="s">
        <v>2207</v>
      </c>
      <c r="B1371">
        <v>1629</v>
      </c>
    </row>
    <row r="1372" spans="1:2" x14ac:dyDescent="0.35">
      <c r="A1372" t="s">
        <v>2209</v>
      </c>
      <c r="B1372" t="s">
        <v>2210</v>
      </c>
    </row>
    <row r="1373" spans="1:2" x14ac:dyDescent="0.35">
      <c r="A1373" t="s">
        <v>2209</v>
      </c>
      <c r="B1373">
        <v>1879</v>
      </c>
    </row>
    <row r="1374" spans="1:2" x14ac:dyDescent="0.35">
      <c r="A1374" t="s">
        <v>2211</v>
      </c>
      <c r="B1374" t="s">
        <v>2212</v>
      </c>
    </row>
    <row r="1375" spans="1:2" x14ac:dyDescent="0.35">
      <c r="A1375" t="s">
        <v>2211</v>
      </c>
      <c r="B1375">
        <v>1226</v>
      </c>
    </row>
    <row r="1376" spans="1:2" x14ac:dyDescent="0.35">
      <c r="A1376" t="s">
        <v>2213</v>
      </c>
      <c r="B1376">
        <v>1704</v>
      </c>
    </row>
    <row r="1377" spans="1:2" x14ac:dyDescent="0.35">
      <c r="A1377" t="s">
        <v>2214</v>
      </c>
      <c r="B1377" t="s">
        <v>2215</v>
      </c>
    </row>
    <row r="1378" spans="1:2" x14ac:dyDescent="0.35">
      <c r="A1378" t="s">
        <v>2214</v>
      </c>
      <c r="B1378">
        <v>2060</v>
      </c>
    </row>
    <row r="1379" spans="1:2" x14ac:dyDescent="0.35">
      <c r="A1379" t="s">
        <v>2216</v>
      </c>
      <c r="B1379" t="s">
        <v>2217</v>
      </c>
    </row>
    <row r="1380" spans="1:2" x14ac:dyDescent="0.35">
      <c r="A1380" t="s">
        <v>2216</v>
      </c>
      <c r="B1380">
        <v>1410</v>
      </c>
    </row>
    <row r="1381" spans="1:2" x14ac:dyDescent="0.35">
      <c r="A1381" t="s">
        <v>2218</v>
      </c>
      <c r="B1381" t="s">
        <v>2219</v>
      </c>
    </row>
    <row r="1382" spans="1:2" x14ac:dyDescent="0.35">
      <c r="A1382" t="s">
        <v>2218</v>
      </c>
      <c r="B1382">
        <v>1342</v>
      </c>
    </row>
    <row r="1383" spans="1:2" x14ac:dyDescent="0.35">
      <c r="A1383" t="s">
        <v>2220</v>
      </c>
      <c r="B1383" t="s">
        <v>2221</v>
      </c>
    </row>
    <row r="1384" spans="1:2" x14ac:dyDescent="0.35">
      <c r="A1384" t="s">
        <v>2220</v>
      </c>
      <c r="B1384">
        <v>41</v>
      </c>
    </row>
    <row r="1385" spans="1:2" x14ac:dyDescent="0.35">
      <c r="A1385" t="s">
        <v>2222</v>
      </c>
      <c r="B1385" t="s">
        <v>2223</v>
      </c>
    </row>
    <row r="1386" spans="1:2" x14ac:dyDescent="0.35">
      <c r="A1386" t="s">
        <v>2222</v>
      </c>
      <c r="B1386">
        <v>1229</v>
      </c>
    </row>
    <row r="1387" spans="1:2" x14ac:dyDescent="0.35">
      <c r="A1387" t="s">
        <v>2224</v>
      </c>
      <c r="B1387">
        <v>1947</v>
      </c>
    </row>
    <row r="1388" spans="1:2" x14ac:dyDescent="0.35">
      <c r="A1388" t="s">
        <v>2225</v>
      </c>
      <c r="B1388">
        <v>1855</v>
      </c>
    </row>
    <row r="1389" spans="1:2" x14ac:dyDescent="0.35">
      <c r="A1389" t="s">
        <v>2226</v>
      </c>
      <c r="B1389">
        <v>1510</v>
      </c>
    </row>
    <row r="1390" spans="1:2" x14ac:dyDescent="0.35">
      <c r="A1390" t="s">
        <v>2227</v>
      </c>
      <c r="B1390">
        <v>2183</v>
      </c>
    </row>
    <row r="1391" spans="1:2" x14ac:dyDescent="0.35">
      <c r="A1391" t="s">
        <v>2228</v>
      </c>
      <c r="B1391">
        <v>1654</v>
      </c>
    </row>
    <row r="1392" spans="1:2" x14ac:dyDescent="0.35">
      <c r="A1392" t="s">
        <v>2229</v>
      </c>
      <c r="B1392" t="s">
        <v>2230</v>
      </c>
    </row>
    <row r="1393" spans="1:2" x14ac:dyDescent="0.35">
      <c r="A1393" t="s">
        <v>2229</v>
      </c>
      <c r="B1393">
        <v>1471</v>
      </c>
    </row>
    <row r="1394" spans="1:2" x14ac:dyDescent="0.35">
      <c r="A1394" t="s">
        <v>2231</v>
      </c>
      <c r="B1394" t="s">
        <v>2232</v>
      </c>
    </row>
    <row r="1395" spans="1:2" x14ac:dyDescent="0.35">
      <c r="A1395" t="s">
        <v>2231</v>
      </c>
      <c r="B1395">
        <v>2127</v>
      </c>
    </row>
    <row r="1396" spans="1:2" x14ac:dyDescent="0.35">
      <c r="A1396" t="s">
        <v>2233</v>
      </c>
      <c r="B1396">
        <v>1709</v>
      </c>
    </row>
    <row r="1397" spans="1:2" x14ac:dyDescent="0.35">
      <c r="A1397" t="s">
        <v>2234</v>
      </c>
      <c r="B1397" t="s">
        <v>2235</v>
      </c>
    </row>
    <row r="1398" spans="1:2" x14ac:dyDescent="0.35">
      <c r="A1398" t="s">
        <v>2234</v>
      </c>
      <c r="B1398">
        <v>1171</v>
      </c>
    </row>
    <row r="1399" spans="1:2" x14ac:dyDescent="0.35">
      <c r="A1399" t="s">
        <v>2236</v>
      </c>
      <c r="B1399">
        <v>828</v>
      </c>
    </row>
    <row r="1400" spans="1:2" x14ac:dyDescent="0.35">
      <c r="A1400" t="s">
        <v>2237</v>
      </c>
      <c r="B1400">
        <v>1390</v>
      </c>
    </row>
    <row r="1401" spans="1:2" x14ac:dyDescent="0.35">
      <c r="A1401" t="s">
        <v>2238</v>
      </c>
      <c r="B1401" t="s">
        <v>2239</v>
      </c>
    </row>
    <row r="1402" spans="1:2" x14ac:dyDescent="0.35">
      <c r="A1402" t="s">
        <v>2238</v>
      </c>
      <c r="B1402">
        <v>1277</v>
      </c>
    </row>
    <row r="1403" spans="1:2" x14ac:dyDescent="0.35">
      <c r="A1403" t="s">
        <v>2240</v>
      </c>
      <c r="B1403" t="s">
        <v>2241</v>
      </c>
    </row>
    <row r="1404" spans="1:2" x14ac:dyDescent="0.35">
      <c r="A1404" t="s">
        <v>2240</v>
      </c>
      <c r="B1404">
        <v>2097</v>
      </c>
    </row>
    <row r="1405" spans="1:2" x14ac:dyDescent="0.35">
      <c r="A1405" t="s">
        <v>2242</v>
      </c>
      <c r="B1405" t="s">
        <v>2243</v>
      </c>
    </row>
    <row r="1406" spans="1:2" x14ac:dyDescent="0.35">
      <c r="A1406" t="s">
        <v>2242</v>
      </c>
      <c r="B1406">
        <v>135</v>
      </c>
    </row>
    <row r="1407" spans="1:2" x14ac:dyDescent="0.35">
      <c r="A1407" t="s">
        <v>2244</v>
      </c>
      <c r="B1407" t="s">
        <v>2245</v>
      </c>
    </row>
    <row r="1408" spans="1:2" x14ac:dyDescent="0.35">
      <c r="A1408" t="s">
        <v>2244</v>
      </c>
      <c r="B1408">
        <v>1485</v>
      </c>
    </row>
    <row r="1409" spans="1:2" x14ac:dyDescent="0.35">
      <c r="A1409" t="s">
        <v>2246</v>
      </c>
      <c r="B1409">
        <v>651</v>
      </c>
    </row>
    <row r="1410" spans="1:2" x14ac:dyDescent="0.35">
      <c r="A1410" t="s">
        <v>2247</v>
      </c>
      <c r="B1410">
        <v>1761</v>
      </c>
    </row>
    <row r="1411" spans="1:2" x14ac:dyDescent="0.35">
      <c r="A1411" t="s">
        <v>2248</v>
      </c>
      <c r="B1411" t="s">
        <v>2249</v>
      </c>
    </row>
    <row r="1412" spans="1:2" x14ac:dyDescent="0.35">
      <c r="A1412" t="s">
        <v>2250</v>
      </c>
      <c r="B1412" t="s">
        <v>2251</v>
      </c>
    </row>
    <row r="1413" spans="1:2" x14ac:dyDescent="0.35">
      <c r="A1413" t="s">
        <v>2250</v>
      </c>
      <c r="B1413">
        <v>2083</v>
      </c>
    </row>
    <row r="1414" spans="1:2" x14ac:dyDescent="0.35">
      <c r="A1414" t="s">
        <v>2252</v>
      </c>
      <c r="B1414" t="s">
        <v>2253</v>
      </c>
    </row>
    <row r="1415" spans="1:2" x14ac:dyDescent="0.35">
      <c r="A1415" t="s">
        <v>2252</v>
      </c>
      <c r="B1415">
        <v>1792</v>
      </c>
    </row>
    <row r="1416" spans="1:2" x14ac:dyDescent="0.35">
      <c r="A1416" t="s">
        <v>2254</v>
      </c>
      <c r="B1416">
        <v>1441</v>
      </c>
    </row>
    <row r="1417" spans="1:2" x14ac:dyDescent="0.35">
      <c r="A1417" t="s">
        <v>2255</v>
      </c>
      <c r="B1417" t="s">
        <v>2256</v>
      </c>
    </row>
    <row r="1418" spans="1:2" x14ac:dyDescent="0.35">
      <c r="A1418" t="s">
        <v>2255</v>
      </c>
      <c r="B1418">
        <v>379</v>
      </c>
    </row>
    <row r="1419" spans="1:2" x14ac:dyDescent="0.35">
      <c r="A1419" t="s">
        <v>2257</v>
      </c>
      <c r="B1419">
        <v>208</v>
      </c>
    </row>
    <row r="1420" spans="1:2" x14ac:dyDescent="0.35">
      <c r="A1420" t="s">
        <v>2258</v>
      </c>
      <c r="B1420" t="s">
        <v>2259</v>
      </c>
    </row>
    <row r="1421" spans="1:2" x14ac:dyDescent="0.35">
      <c r="A1421" t="s">
        <v>2258</v>
      </c>
      <c r="B1421">
        <v>2130</v>
      </c>
    </row>
    <row r="1422" spans="1:2" x14ac:dyDescent="0.35">
      <c r="A1422" t="s">
        <v>2260</v>
      </c>
      <c r="B1422" t="s">
        <v>2261</v>
      </c>
    </row>
    <row r="1423" spans="1:2" x14ac:dyDescent="0.35">
      <c r="A1423" t="s">
        <v>2260</v>
      </c>
      <c r="B1423">
        <v>2046</v>
      </c>
    </row>
    <row r="1424" spans="1:2" x14ac:dyDescent="0.35">
      <c r="A1424" t="s">
        <v>2262</v>
      </c>
      <c r="B1424" t="s">
        <v>2263</v>
      </c>
    </row>
    <row r="1425" spans="1:2" x14ac:dyDescent="0.35">
      <c r="A1425" t="s">
        <v>2262</v>
      </c>
      <c r="B1425">
        <v>1958</v>
      </c>
    </row>
    <row r="1426" spans="1:2" x14ac:dyDescent="0.35">
      <c r="A1426" t="s">
        <v>2264</v>
      </c>
      <c r="B1426" t="s">
        <v>2265</v>
      </c>
    </row>
    <row r="1427" spans="1:2" x14ac:dyDescent="0.35">
      <c r="A1427" t="s">
        <v>2264</v>
      </c>
      <c r="B1427">
        <v>1630</v>
      </c>
    </row>
    <row r="1428" spans="1:2" x14ac:dyDescent="0.35">
      <c r="A1428" t="s">
        <v>2266</v>
      </c>
      <c r="B1428" t="s">
        <v>2267</v>
      </c>
    </row>
    <row r="1429" spans="1:2" x14ac:dyDescent="0.35">
      <c r="A1429" t="s">
        <v>2268</v>
      </c>
      <c r="B1429">
        <v>23</v>
      </c>
    </row>
    <row r="1430" spans="1:2" x14ac:dyDescent="0.35">
      <c r="A1430" t="s">
        <v>2269</v>
      </c>
      <c r="B1430" t="s">
        <v>2270</v>
      </c>
    </row>
    <row r="1431" spans="1:2" x14ac:dyDescent="0.35">
      <c r="A1431" t="s">
        <v>2269</v>
      </c>
      <c r="B1431">
        <v>1481</v>
      </c>
    </row>
    <row r="1432" spans="1:2" x14ac:dyDescent="0.35">
      <c r="A1432" t="s">
        <v>2271</v>
      </c>
      <c r="B1432">
        <v>1095</v>
      </c>
    </row>
    <row r="1433" spans="1:2" x14ac:dyDescent="0.35">
      <c r="A1433" t="s">
        <v>2272</v>
      </c>
      <c r="B1433" t="s">
        <v>2273</v>
      </c>
    </row>
    <row r="1434" spans="1:2" x14ac:dyDescent="0.35">
      <c r="A1434" t="s">
        <v>2272</v>
      </c>
      <c r="B1434">
        <v>1439</v>
      </c>
    </row>
    <row r="1435" spans="1:2" x14ac:dyDescent="0.35">
      <c r="A1435" t="s">
        <v>2274</v>
      </c>
      <c r="B1435" t="s">
        <v>2275</v>
      </c>
    </row>
    <row r="1436" spans="1:2" x14ac:dyDescent="0.35">
      <c r="A1436" t="s">
        <v>2274</v>
      </c>
      <c r="B1436">
        <v>153</v>
      </c>
    </row>
    <row r="1437" spans="1:2" x14ac:dyDescent="0.35">
      <c r="A1437" t="s">
        <v>2276</v>
      </c>
      <c r="B1437">
        <v>393</v>
      </c>
    </row>
    <row r="1438" spans="1:2" x14ac:dyDescent="0.35">
      <c r="A1438" t="s">
        <v>2277</v>
      </c>
      <c r="B1438" t="s">
        <v>2278</v>
      </c>
    </row>
    <row r="1439" spans="1:2" x14ac:dyDescent="0.35">
      <c r="A1439" t="s">
        <v>2277</v>
      </c>
      <c r="B1439">
        <v>1218</v>
      </c>
    </row>
    <row r="1440" spans="1:2" x14ac:dyDescent="0.35">
      <c r="A1440" t="s">
        <v>2279</v>
      </c>
      <c r="B1440">
        <v>612</v>
      </c>
    </row>
    <row r="1441" spans="1:2" x14ac:dyDescent="0.35">
      <c r="A1441" t="s">
        <v>2280</v>
      </c>
      <c r="B1441" t="s">
        <v>2281</v>
      </c>
    </row>
    <row r="1442" spans="1:2" x14ac:dyDescent="0.35">
      <c r="A1442" t="s">
        <v>2280</v>
      </c>
      <c r="B1442">
        <v>47</v>
      </c>
    </row>
    <row r="1443" spans="1:2" x14ac:dyDescent="0.35">
      <c r="A1443" t="s">
        <v>2282</v>
      </c>
      <c r="B1443">
        <v>478</v>
      </c>
    </row>
    <row r="1444" spans="1:2" x14ac:dyDescent="0.35">
      <c r="A1444" t="s">
        <v>2283</v>
      </c>
      <c r="B1444" t="s">
        <v>2284</v>
      </c>
    </row>
    <row r="1445" spans="1:2" x14ac:dyDescent="0.35">
      <c r="A1445" t="s">
        <v>2283</v>
      </c>
      <c r="B1445">
        <v>358</v>
      </c>
    </row>
    <row r="1446" spans="1:2" x14ac:dyDescent="0.35">
      <c r="A1446" t="s">
        <v>2285</v>
      </c>
      <c r="B1446" t="s">
        <v>2286</v>
      </c>
    </row>
    <row r="1447" spans="1:2" x14ac:dyDescent="0.35">
      <c r="A1447" t="s">
        <v>2285</v>
      </c>
      <c r="B1447">
        <v>897</v>
      </c>
    </row>
    <row r="1448" spans="1:2" x14ac:dyDescent="0.35">
      <c r="A1448" t="s">
        <v>2287</v>
      </c>
      <c r="B1448" t="s">
        <v>2288</v>
      </c>
    </row>
    <row r="1449" spans="1:2" x14ac:dyDescent="0.35">
      <c r="A1449" t="s">
        <v>2287</v>
      </c>
      <c r="B1449">
        <v>865</v>
      </c>
    </row>
    <row r="1450" spans="1:2" x14ac:dyDescent="0.35">
      <c r="A1450" t="s">
        <v>2289</v>
      </c>
      <c r="B1450" t="s">
        <v>2290</v>
      </c>
    </row>
    <row r="1451" spans="1:2" x14ac:dyDescent="0.35">
      <c r="A1451" t="s">
        <v>2289</v>
      </c>
      <c r="B1451">
        <v>1073</v>
      </c>
    </row>
    <row r="1452" spans="1:2" x14ac:dyDescent="0.35">
      <c r="A1452" t="s">
        <v>2291</v>
      </c>
      <c r="B1452" t="s">
        <v>2292</v>
      </c>
    </row>
    <row r="1453" spans="1:2" x14ac:dyDescent="0.35">
      <c r="A1453" t="s">
        <v>2291</v>
      </c>
      <c r="B1453">
        <v>1184</v>
      </c>
    </row>
    <row r="1454" spans="1:2" x14ac:dyDescent="0.35">
      <c r="A1454" t="s">
        <v>2293</v>
      </c>
      <c r="B1454" t="s">
        <v>2294</v>
      </c>
    </row>
    <row r="1455" spans="1:2" x14ac:dyDescent="0.35">
      <c r="A1455" t="s">
        <v>2293</v>
      </c>
      <c r="B1455">
        <v>1096</v>
      </c>
    </row>
    <row r="1456" spans="1:2" x14ac:dyDescent="0.35">
      <c r="A1456" t="s">
        <v>2295</v>
      </c>
      <c r="B1456" t="s">
        <v>2296</v>
      </c>
    </row>
    <row r="1457" spans="1:2" x14ac:dyDescent="0.35">
      <c r="A1457" t="s">
        <v>2295</v>
      </c>
      <c r="B1457">
        <v>1816</v>
      </c>
    </row>
    <row r="1458" spans="1:2" x14ac:dyDescent="0.35">
      <c r="A1458" t="s">
        <v>2297</v>
      </c>
      <c r="B1458" t="s">
        <v>2298</v>
      </c>
    </row>
    <row r="1459" spans="1:2" x14ac:dyDescent="0.35">
      <c r="A1459" t="s">
        <v>2297</v>
      </c>
      <c r="B1459">
        <v>702</v>
      </c>
    </row>
    <row r="1460" spans="1:2" x14ac:dyDescent="0.35">
      <c r="A1460" t="s">
        <v>2299</v>
      </c>
      <c r="B1460">
        <v>1109</v>
      </c>
    </row>
    <row r="1461" spans="1:2" x14ac:dyDescent="0.35">
      <c r="A1461" t="s">
        <v>2300</v>
      </c>
      <c r="B1461">
        <v>1203</v>
      </c>
    </row>
    <row r="1462" spans="1:2" x14ac:dyDescent="0.35">
      <c r="A1462" t="s">
        <v>2301</v>
      </c>
      <c r="B1462" t="s">
        <v>2302</v>
      </c>
    </row>
    <row r="1463" spans="1:2" x14ac:dyDescent="0.35">
      <c r="A1463" t="s">
        <v>2301</v>
      </c>
      <c r="B1463">
        <v>1316</v>
      </c>
    </row>
    <row r="1464" spans="1:2" x14ac:dyDescent="0.35">
      <c r="A1464" t="s">
        <v>2303</v>
      </c>
      <c r="B1464">
        <v>1890</v>
      </c>
    </row>
    <row r="1465" spans="1:2" x14ac:dyDescent="0.35">
      <c r="A1465" t="s">
        <v>2304</v>
      </c>
      <c r="B1465" t="s">
        <v>2305</v>
      </c>
    </row>
    <row r="1466" spans="1:2" x14ac:dyDescent="0.35">
      <c r="A1466" t="s">
        <v>2304</v>
      </c>
      <c r="B1466">
        <v>941</v>
      </c>
    </row>
    <row r="1467" spans="1:2" x14ac:dyDescent="0.35">
      <c r="A1467" t="s">
        <v>2306</v>
      </c>
      <c r="B1467">
        <v>1534</v>
      </c>
    </row>
    <row r="1468" spans="1:2" x14ac:dyDescent="0.35">
      <c r="A1468" t="s">
        <v>2307</v>
      </c>
      <c r="B1468">
        <v>1919</v>
      </c>
    </row>
    <row r="1469" spans="1:2" x14ac:dyDescent="0.35">
      <c r="A1469" t="s">
        <v>2308</v>
      </c>
      <c r="B1469" t="s">
        <v>2309</v>
      </c>
    </row>
    <row r="1470" spans="1:2" x14ac:dyDescent="0.35">
      <c r="A1470" t="s">
        <v>2308</v>
      </c>
      <c r="B1470">
        <v>841</v>
      </c>
    </row>
    <row r="1471" spans="1:2" x14ac:dyDescent="0.35">
      <c r="A1471" t="s">
        <v>2310</v>
      </c>
      <c r="B1471" t="s">
        <v>2311</v>
      </c>
    </row>
    <row r="1472" spans="1:2" x14ac:dyDescent="0.35">
      <c r="A1472" t="s">
        <v>2310</v>
      </c>
      <c r="B1472">
        <v>920</v>
      </c>
    </row>
    <row r="1473" spans="1:2" x14ac:dyDescent="0.35">
      <c r="A1473" t="s">
        <v>2312</v>
      </c>
      <c r="B1473" t="s">
        <v>2313</v>
      </c>
    </row>
    <row r="1474" spans="1:2" x14ac:dyDescent="0.35">
      <c r="A1474" t="s">
        <v>2312</v>
      </c>
      <c r="B1474">
        <v>1551</v>
      </c>
    </row>
    <row r="1475" spans="1:2" x14ac:dyDescent="0.35">
      <c r="A1475" t="s">
        <v>2314</v>
      </c>
      <c r="B1475" t="s">
        <v>2315</v>
      </c>
    </row>
    <row r="1476" spans="1:2" x14ac:dyDescent="0.35">
      <c r="A1476" t="s">
        <v>2314</v>
      </c>
      <c r="B1476">
        <v>936</v>
      </c>
    </row>
    <row r="1477" spans="1:2" x14ac:dyDescent="0.35">
      <c r="A1477" t="s">
        <v>2316</v>
      </c>
      <c r="B1477">
        <v>1136</v>
      </c>
    </row>
    <row r="1478" spans="1:2" x14ac:dyDescent="0.35">
      <c r="A1478" t="s">
        <v>2317</v>
      </c>
      <c r="B1478" t="s">
        <v>2318</v>
      </c>
    </row>
    <row r="1479" spans="1:2" x14ac:dyDescent="0.35">
      <c r="A1479" t="s">
        <v>2317</v>
      </c>
      <c r="B1479">
        <v>1146</v>
      </c>
    </row>
    <row r="1480" spans="1:2" x14ac:dyDescent="0.35">
      <c r="A1480" t="s">
        <v>2319</v>
      </c>
      <c r="B1480">
        <v>486</v>
      </c>
    </row>
    <row r="1481" spans="1:2" x14ac:dyDescent="0.35">
      <c r="A1481" t="s">
        <v>2320</v>
      </c>
      <c r="B1481" t="s">
        <v>2321</v>
      </c>
    </row>
    <row r="1482" spans="1:2" x14ac:dyDescent="0.35">
      <c r="A1482" t="s">
        <v>2320</v>
      </c>
      <c r="B1482">
        <v>1483</v>
      </c>
    </row>
    <row r="1483" spans="1:2" x14ac:dyDescent="0.35">
      <c r="A1483" t="s">
        <v>2322</v>
      </c>
      <c r="B1483">
        <v>1763</v>
      </c>
    </row>
    <row r="1484" spans="1:2" x14ac:dyDescent="0.35">
      <c r="A1484" t="s">
        <v>2323</v>
      </c>
      <c r="B1484" t="s">
        <v>2324</v>
      </c>
    </row>
    <row r="1485" spans="1:2" x14ac:dyDescent="0.35">
      <c r="A1485" t="s">
        <v>2323</v>
      </c>
      <c r="B1485">
        <v>1997</v>
      </c>
    </row>
    <row r="1486" spans="1:2" x14ac:dyDescent="0.35">
      <c r="A1486" t="s">
        <v>2325</v>
      </c>
      <c r="B1486">
        <v>1324</v>
      </c>
    </row>
    <row r="1487" spans="1:2" x14ac:dyDescent="0.35">
      <c r="A1487" t="s">
        <v>2326</v>
      </c>
      <c r="B1487">
        <v>1158</v>
      </c>
    </row>
    <row r="1488" spans="1:2" x14ac:dyDescent="0.35">
      <c r="A1488" t="s">
        <v>2327</v>
      </c>
      <c r="B1488" t="s">
        <v>2328</v>
      </c>
    </row>
    <row r="1489" spans="1:2" x14ac:dyDescent="0.35">
      <c r="A1489" t="s">
        <v>2327</v>
      </c>
      <c r="B1489">
        <v>2048</v>
      </c>
    </row>
    <row r="1490" spans="1:2" x14ac:dyDescent="0.35">
      <c r="A1490" t="s">
        <v>2329</v>
      </c>
      <c r="B1490" t="s">
        <v>2330</v>
      </c>
    </row>
    <row r="1491" spans="1:2" x14ac:dyDescent="0.35">
      <c r="A1491" t="s">
        <v>2329</v>
      </c>
      <c r="B1491">
        <v>1404</v>
      </c>
    </row>
    <row r="1492" spans="1:2" x14ac:dyDescent="0.35">
      <c r="A1492" t="s">
        <v>2331</v>
      </c>
      <c r="B1492">
        <v>569</v>
      </c>
    </row>
    <row r="1493" spans="1:2" x14ac:dyDescent="0.35">
      <c r="A1493" t="s">
        <v>2332</v>
      </c>
      <c r="B1493" t="s">
        <v>2333</v>
      </c>
    </row>
    <row r="1494" spans="1:2" x14ac:dyDescent="0.35">
      <c r="A1494" t="s">
        <v>2332</v>
      </c>
      <c r="B1494">
        <v>2107</v>
      </c>
    </row>
    <row r="1495" spans="1:2" x14ac:dyDescent="0.35">
      <c r="A1495" t="s">
        <v>2334</v>
      </c>
      <c r="B1495" t="s">
        <v>2335</v>
      </c>
    </row>
    <row r="1496" spans="1:2" x14ac:dyDescent="0.35">
      <c r="A1496" t="s">
        <v>2334</v>
      </c>
      <c r="B1496">
        <v>627</v>
      </c>
    </row>
    <row r="1497" spans="1:2" x14ac:dyDescent="0.35">
      <c r="A1497" t="s">
        <v>2336</v>
      </c>
      <c r="B1497">
        <v>1603</v>
      </c>
    </row>
    <row r="1498" spans="1:2" x14ac:dyDescent="0.35">
      <c r="A1498" t="s">
        <v>2337</v>
      </c>
      <c r="B1498" t="s">
        <v>2338</v>
      </c>
    </row>
    <row r="1499" spans="1:2" x14ac:dyDescent="0.35">
      <c r="A1499" t="s">
        <v>2337</v>
      </c>
      <c r="B1499">
        <v>2069</v>
      </c>
    </row>
    <row r="1500" spans="1:2" x14ac:dyDescent="0.35">
      <c r="A1500" t="s">
        <v>2339</v>
      </c>
      <c r="B1500">
        <v>384</v>
      </c>
    </row>
    <row r="1501" spans="1:2" x14ac:dyDescent="0.35">
      <c r="A1501" t="s">
        <v>2340</v>
      </c>
      <c r="B1501">
        <v>2024</v>
      </c>
    </row>
    <row r="1502" spans="1:2" x14ac:dyDescent="0.35">
      <c r="A1502" t="s">
        <v>2341</v>
      </c>
      <c r="B1502">
        <v>575</v>
      </c>
    </row>
    <row r="1503" spans="1:2" x14ac:dyDescent="0.35">
      <c r="A1503" t="s">
        <v>2342</v>
      </c>
      <c r="B1503">
        <v>1701</v>
      </c>
    </row>
    <row r="1504" spans="1:2" x14ac:dyDescent="0.35">
      <c r="A1504" t="s">
        <v>2343</v>
      </c>
      <c r="B1504">
        <v>1696</v>
      </c>
    </row>
    <row r="1505" spans="1:2" x14ac:dyDescent="0.35">
      <c r="A1505" t="s">
        <v>2344</v>
      </c>
      <c r="B1505" t="s">
        <v>2345</v>
      </c>
    </row>
    <row r="1506" spans="1:2" x14ac:dyDescent="0.35">
      <c r="A1506" t="s">
        <v>2344</v>
      </c>
      <c r="B1506">
        <v>900</v>
      </c>
    </row>
    <row r="1507" spans="1:2" x14ac:dyDescent="0.35">
      <c r="A1507" t="s">
        <v>2346</v>
      </c>
      <c r="B1507" t="s">
        <v>2347</v>
      </c>
    </row>
    <row r="1508" spans="1:2" x14ac:dyDescent="0.35">
      <c r="A1508" t="s">
        <v>2346</v>
      </c>
      <c r="B1508">
        <v>1672</v>
      </c>
    </row>
    <row r="1509" spans="1:2" x14ac:dyDescent="0.35">
      <c r="A1509" t="s">
        <v>2348</v>
      </c>
      <c r="B1509">
        <v>2136</v>
      </c>
    </row>
    <row r="1510" spans="1:2" x14ac:dyDescent="0.35">
      <c r="A1510" t="s">
        <v>2349</v>
      </c>
      <c r="B1510" t="s">
        <v>2350</v>
      </c>
    </row>
    <row r="1511" spans="1:2" x14ac:dyDescent="0.35">
      <c r="A1511" t="s">
        <v>2349</v>
      </c>
      <c r="B1511">
        <v>780</v>
      </c>
    </row>
    <row r="1512" spans="1:2" x14ac:dyDescent="0.35">
      <c r="A1512" t="s">
        <v>2351</v>
      </c>
      <c r="B1512" t="s">
        <v>2352</v>
      </c>
    </row>
    <row r="1513" spans="1:2" x14ac:dyDescent="0.35">
      <c r="A1513" t="s">
        <v>2351</v>
      </c>
      <c r="B1513">
        <v>1758</v>
      </c>
    </row>
    <row r="1514" spans="1:2" x14ac:dyDescent="0.35">
      <c r="A1514" t="s">
        <v>2353</v>
      </c>
      <c r="B1514" t="s">
        <v>2354</v>
      </c>
    </row>
    <row r="1515" spans="1:2" x14ac:dyDescent="0.35">
      <c r="A1515" t="s">
        <v>2353</v>
      </c>
      <c r="B1515">
        <v>853</v>
      </c>
    </row>
    <row r="1516" spans="1:2" x14ac:dyDescent="0.35">
      <c r="A1516" t="s">
        <v>2355</v>
      </c>
      <c r="B1516" t="s">
        <v>2356</v>
      </c>
    </row>
    <row r="1517" spans="1:2" x14ac:dyDescent="0.35">
      <c r="A1517" t="s">
        <v>2355</v>
      </c>
      <c r="B1517">
        <v>1476</v>
      </c>
    </row>
    <row r="1518" spans="1:2" x14ac:dyDescent="0.35">
      <c r="A1518" t="s">
        <v>2357</v>
      </c>
      <c r="B1518" t="s">
        <v>2358</v>
      </c>
    </row>
    <row r="1519" spans="1:2" x14ac:dyDescent="0.35">
      <c r="A1519" t="s">
        <v>2357</v>
      </c>
      <c r="B1519">
        <v>1227</v>
      </c>
    </row>
    <row r="1520" spans="1:2" x14ac:dyDescent="0.35">
      <c r="A1520" t="s">
        <v>2359</v>
      </c>
      <c r="B1520" t="s">
        <v>2360</v>
      </c>
    </row>
    <row r="1521" spans="1:2" x14ac:dyDescent="0.35">
      <c r="A1521" t="s">
        <v>2361</v>
      </c>
      <c r="B1521">
        <v>2167</v>
      </c>
    </row>
    <row r="1522" spans="1:2" x14ac:dyDescent="0.35">
      <c r="A1522" t="s">
        <v>2362</v>
      </c>
      <c r="B1522" t="s">
        <v>2363</v>
      </c>
    </row>
    <row r="1523" spans="1:2" x14ac:dyDescent="0.35">
      <c r="A1523" t="s">
        <v>2362</v>
      </c>
      <c r="B1523">
        <v>1255</v>
      </c>
    </row>
    <row r="1524" spans="1:2" x14ac:dyDescent="0.35">
      <c r="A1524" t="s">
        <v>2364</v>
      </c>
      <c r="B1524" t="s">
        <v>2365</v>
      </c>
    </row>
    <row r="1525" spans="1:2" x14ac:dyDescent="0.35">
      <c r="A1525" t="s">
        <v>2364</v>
      </c>
      <c r="B1525">
        <v>698</v>
      </c>
    </row>
    <row r="1526" spans="1:2" x14ac:dyDescent="0.35">
      <c r="A1526" t="s">
        <v>2366</v>
      </c>
      <c r="B1526" t="s">
        <v>2367</v>
      </c>
    </row>
    <row r="1527" spans="1:2" x14ac:dyDescent="0.35">
      <c r="A1527" t="s">
        <v>2366</v>
      </c>
      <c r="B1527">
        <v>1283</v>
      </c>
    </row>
    <row r="1528" spans="1:2" x14ac:dyDescent="0.35">
      <c r="A1528" t="s">
        <v>2368</v>
      </c>
      <c r="B1528" t="s">
        <v>2369</v>
      </c>
    </row>
    <row r="1529" spans="1:2" x14ac:dyDescent="0.35">
      <c r="A1529" t="s">
        <v>2368</v>
      </c>
      <c r="B1529">
        <v>65</v>
      </c>
    </row>
    <row r="1530" spans="1:2" x14ac:dyDescent="0.35">
      <c r="A1530" t="s">
        <v>2370</v>
      </c>
      <c r="B1530" t="s">
        <v>2371</v>
      </c>
    </row>
    <row r="1531" spans="1:2" x14ac:dyDescent="0.35">
      <c r="A1531" t="s">
        <v>2370</v>
      </c>
      <c r="B1531">
        <v>7</v>
      </c>
    </row>
    <row r="1532" spans="1:2" x14ac:dyDescent="0.35">
      <c r="A1532" t="s">
        <v>2372</v>
      </c>
      <c r="B1532">
        <v>2148</v>
      </c>
    </row>
    <row r="1533" spans="1:2" x14ac:dyDescent="0.35">
      <c r="A1533" t="s">
        <v>2373</v>
      </c>
      <c r="B1533" t="s">
        <v>2374</v>
      </c>
    </row>
    <row r="1534" spans="1:2" x14ac:dyDescent="0.35">
      <c r="A1534" t="s">
        <v>2373</v>
      </c>
      <c r="B1534">
        <v>1344</v>
      </c>
    </row>
    <row r="1535" spans="1:2" x14ac:dyDescent="0.35">
      <c r="A1535" t="s">
        <v>2375</v>
      </c>
      <c r="B1535" t="s">
        <v>2376</v>
      </c>
    </row>
    <row r="1536" spans="1:2" x14ac:dyDescent="0.35">
      <c r="A1536" t="s">
        <v>2375</v>
      </c>
      <c r="B1536">
        <v>255</v>
      </c>
    </row>
    <row r="1537" spans="1:2" x14ac:dyDescent="0.35">
      <c r="A1537" t="s">
        <v>2377</v>
      </c>
      <c r="B1537" t="s">
        <v>2378</v>
      </c>
    </row>
    <row r="1538" spans="1:2" x14ac:dyDescent="0.35">
      <c r="A1538" t="s">
        <v>2377</v>
      </c>
      <c r="B1538">
        <v>737</v>
      </c>
    </row>
    <row r="1539" spans="1:2" x14ac:dyDescent="0.35">
      <c r="A1539" t="s">
        <v>2379</v>
      </c>
      <c r="B1539" t="s">
        <v>2380</v>
      </c>
    </row>
    <row r="1540" spans="1:2" x14ac:dyDescent="0.35">
      <c r="A1540" t="s">
        <v>2379</v>
      </c>
      <c r="B1540">
        <v>413</v>
      </c>
    </row>
    <row r="1541" spans="1:2" x14ac:dyDescent="0.35">
      <c r="A1541" t="s">
        <v>2381</v>
      </c>
      <c r="B1541" t="s">
        <v>2382</v>
      </c>
    </row>
    <row r="1542" spans="1:2" x14ac:dyDescent="0.35">
      <c r="A1542" t="s">
        <v>2381</v>
      </c>
      <c r="B1542">
        <v>2140</v>
      </c>
    </row>
    <row r="1543" spans="1:2" x14ac:dyDescent="0.35">
      <c r="A1543" t="s">
        <v>2383</v>
      </c>
      <c r="B1543" t="s">
        <v>2384</v>
      </c>
    </row>
    <row r="1544" spans="1:2" x14ac:dyDescent="0.35">
      <c r="A1544" t="s">
        <v>2383</v>
      </c>
      <c r="B1544">
        <v>2037</v>
      </c>
    </row>
    <row r="1545" spans="1:2" x14ac:dyDescent="0.35">
      <c r="A1545" t="s">
        <v>2385</v>
      </c>
      <c r="B1545">
        <v>326</v>
      </c>
    </row>
    <row r="1546" spans="1:2" x14ac:dyDescent="0.35">
      <c r="A1546" t="s">
        <v>2386</v>
      </c>
      <c r="B1546" t="s">
        <v>2387</v>
      </c>
    </row>
    <row r="1547" spans="1:2" x14ac:dyDescent="0.35">
      <c r="A1547" t="s">
        <v>2388</v>
      </c>
      <c r="B1547" t="s">
        <v>2389</v>
      </c>
    </row>
    <row r="1548" spans="1:2" x14ac:dyDescent="0.35">
      <c r="A1548" t="s">
        <v>2388</v>
      </c>
      <c r="B1548">
        <v>1753</v>
      </c>
    </row>
    <row r="1549" spans="1:2" x14ac:dyDescent="0.35">
      <c r="A1549" t="s">
        <v>2390</v>
      </c>
      <c r="B1549" t="s">
        <v>2391</v>
      </c>
    </row>
    <row r="1550" spans="1:2" x14ac:dyDescent="0.35">
      <c r="A1550" t="s">
        <v>2390</v>
      </c>
      <c r="B1550">
        <v>1664</v>
      </c>
    </row>
    <row r="1551" spans="1:2" x14ac:dyDescent="0.35">
      <c r="A1551" t="s">
        <v>2392</v>
      </c>
      <c r="B1551">
        <v>1512</v>
      </c>
    </row>
    <row r="1552" spans="1:2" x14ac:dyDescent="0.35">
      <c r="A1552" t="s">
        <v>2393</v>
      </c>
      <c r="B1552">
        <v>174</v>
      </c>
    </row>
    <row r="1553" spans="1:2" x14ac:dyDescent="0.35">
      <c r="A1553" t="s">
        <v>2394</v>
      </c>
      <c r="B1553" t="s">
        <v>2395</v>
      </c>
    </row>
    <row r="1554" spans="1:2" x14ac:dyDescent="0.35">
      <c r="A1554" t="s">
        <v>2394</v>
      </c>
      <c r="B1554">
        <v>2076</v>
      </c>
    </row>
    <row r="1555" spans="1:2" x14ac:dyDescent="0.35">
      <c r="A1555" t="s">
        <v>2396</v>
      </c>
      <c r="B1555" t="s">
        <v>2397</v>
      </c>
    </row>
    <row r="1556" spans="1:2" x14ac:dyDescent="0.35">
      <c r="A1556" t="s">
        <v>2396</v>
      </c>
      <c r="B1556">
        <v>1100</v>
      </c>
    </row>
    <row r="1557" spans="1:2" x14ac:dyDescent="0.35">
      <c r="A1557" t="s">
        <v>2398</v>
      </c>
      <c r="B1557" t="s">
        <v>2399</v>
      </c>
    </row>
    <row r="1558" spans="1:2" x14ac:dyDescent="0.35">
      <c r="A1558" t="s">
        <v>2398</v>
      </c>
      <c r="B1558">
        <v>74</v>
      </c>
    </row>
    <row r="1559" spans="1:2" x14ac:dyDescent="0.35">
      <c r="A1559" t="s">
        <v>2400</v>
      </c>
      <c r="B1559" t="s">
        <v>2401</v>
      </c>
    </row>
    <row r="1560" spans="1:2" x14ac:dyDescent="0.35">
      <c r="A1560" t="s">
        <v>2400</v>
      </c>
      <c r="B1560">
        <v>1477</v>
      </c>
    </row>
    <row r="1561" spans="1:2" x14ac:dyDescent="0.35">
      <c r="A1561" t="s">
        <v>2402</v>
      </c>
      <c r="B1561">
        <v>289</v>
      </c>
    </row>
    <row r="1562" spans="1:2" x14ac:dyDescent="0.35">
      <c r="A1562" t="s">
        <v>2403</v>
      </c>
      <c r="B1562">
        <v>1965</v>
      </c>
    </row>
    <row r="1563" spans="1:2" x14ac:dyDescent="0.35">
      <c r="A1563" t="s">
        <v>2404</v>
      </c>
      <c r="B1563" t="s">
        <v>2405</v>
      </c>
    </row>
    <row r="1564" spans="1:2" x14ac:dyDescent="0.35">
      <c r="A1564" t="s">
        <v>2404</v>
      </c>
      <c r="B1564">
        <v>1405</v>
      </c>
    </row>
    <row r="1565" spans="1:2" x14ac:dyDescent="0.35">
      <c r="A1565" t="s">
        <v>2406</v>
      </c>
      <c r="B1565" t="s">
        <v>2407</v>
      </c>
    </row>
    <row r="1566" spans="1:2" x14ac:dyDescent="0.35">
      <c r="A1566" t="s">
        <v>2406</v>
      </c>
      <c r="B1566">
        <v>2152</v>
      </c>
    </row>
    <row r="1567" spans="1:2" x14ac:dyDescent="0.35">
      <c r="A1567" t="s">
        <v>2408</v>
      </c>
      <c r="B1567" t="s">
        <v>2409</v>
      </c>
    </row>
    <row r="1568" spans="1:2" x14ac:dyDescent="0.35">
      <c r="A1568" t="s">
        <v>2408</v>
      </c>
      <c r="B1568">
        <v>1857</v>
      </c>
    </row>
    <row r="1569" spans="1:2" x14ac:dyDescent="0.35">
      <c r="A1569" t="s">
        <v>2410</v>
      </c>
      <c r="B1569">
        <v>1876</v>
      </c>
    </row>
    <row r="1570" spans="1:2" x14ac:dyDescent="0.35">
      <c r="A1570" t="s">
        <v>2411</v>
      </c>
      <c r="B1570" t="s">
        <v>2412</v>
      </c>
    </row>
    <row r="1571" spans="1:2" x14ac:dyDescent="0.35">
      <c r="A1571" t="s">
        <v>2411</v>
      </c>
      <c r="B1571">
        <v>2089</v>
      </c>
    </row>
    <row r="1572" spans="1:2" x14ac:dyDescent="0.35">
      <c r="A1572" t="s">
        <v>2413</v>
      </c>
      <c r="B1572" t="s">
        <v>2414</v>
      </c>
    </row>
    <row r="1573" spans="1:2" x14ac:dyDescent="0.35">
      <c r="A1573" t="s">
        <v>2413</v>
      </c>
      <c r="B1573">
        <v>105</v>
      </c>
    </row>
    <row r="1574" spans="1:2" x14ac:dyDescent="0.35">
      <c r="A1574" t="s">
        <v>2415</v>
      </c>
      <c r="B1574" t="s">
        <v>2416</v>
      </c>
    </row>
    <row r="1575" spans="1:2" x14ac:dyDescent="0.35">
      <c r="A1575" t="s">
        <v>2415</v>
      </c>
      <c r="B1575">
        <v>895</v>
      </c>
    </row>
    <row r="1576" spans="1:2" x14ac:dyDescent="0.35">
      <c r="A1576" t="s">
        <v>2417</v>
      </c>
      <c r="B1576" t="s">
        <v>2418</v>
      </c>
    </row>
    <row r="1577" spans="1:2" x14ac:dyDescent="0.35">
      <c r="A1577" t="s">
        <v>2417</v>
      </c>
      <c r="B1577">
        <v>1820</v>
      </c>
    </row>
    <row r="1578" spans="1:2" x14ac:dyDescent="0.35">
      <c r="A1578" t="s">
        <v>2419</v>
      </c>
      <c r="B1578" t="s">
        <v>2420</v>
      </c>
    </row>
    <row r="1579" spans="1:2" x14ac:dyDescent="0.35">
      <c r="A1579" t="s">
        <v>2419</v>
      </c>
      <c r="B1579">
        <v>760</v>
      </c>
    </row>
    <row r="1580" spans="1:2" x14ac:dyDescent="0.35">
      <c r="A1580" t="s">
        <v>2421</v>
      </c>
      <c r="B1580" t="s">
        <v>2422</v>
      </c>
    </row>
    <row r="1581" spans="1:2" x14ac:dyDescent="0.35">
      <c r="A1581" t="s">
        <v>2421</v>
      </c>
      <c r="B1581">
        <v>34</v>
      </c>
    </row>
    <row r="1582" spans="1:2" x14ac:dyDescent="0.35">
      <c r="A1582" t="s">
        <v>2423</v>
      </c>
      <c r="B1582" t="s">
        <v>2424</v>
      </c>
    </row>
    <row r="1583" spans="1:2" x14ac:dyDescent="0.35">
      <c r="A1583" t="s">
        <v>2423</v>
      </c>
      <c r="B1583">
        <v>84</v>
      </c>
    </row>
    <row r="1584" spans="1:2" x14ac:dyDescent="0.35">
      <c r="A1584" t="s">
        <v>2425</v>
      </c>
      <c r="B1584" t="s">
        <v>2426</v>
      </c>
    </row>
    <row r="1585" spans="1:2" x14ac:dyDescent="0.35">
      <c r="A1585" t="s">
        <v>2425</v>
      </c>
      <c r="B1585">
        <v>1300</v>
      </c>
    </row>
    <row r="1586" spans="1:2" x14ac:dyDescent="0.35">
      <c r="A1586" t="s">
        <v>2427</v>
      </c>
      <c r="B1586" t="s">
        <v>2428</v>
      </c>
    </row>
    <row r="1587" spans="1:2" x14ac:dyDescent="0.35">
      <c r="A1587" t="s">
        <v>2427</v>
      </c>
      <c r="B1587">
        <v>235</v>
      </c>
    </row>
    <row r="1588" spans="1:2" x14ac:dyDescent="0.35">
      <c r="A1588" t="s">
        <v>2429</v>
      </c>
      <c r="B1588" t="s">
        <v>2430</v>
      </c>
    </row>
    <row r="1589" spans="1:2" x14ac:dyDescent="0.35">
      <c r="A1589" t="s">
        <v>2429</v>
      </c>
      <c r="B1589">
        <v>3</v>
      </c>
    </row>
    <row r="1590" spans="1:2" x14ac:dyDescent="0.35">
      <c r="A1590" t="s">
        <v>2431</v>
      </c>
      <c r="B1590" t="s">
        <v>2432</v>
      </c>
    </row>
    <row r="1591" spans="1:2" x14ac:dyDescent="0.35">
      <c r="A1591" t="s">
        <v>2431</v>
      </c>
      <c r="B1591">
        <v>548</v>
      </c>
    </row>
    <row r="1592" spans="1:2" x14ac:dyDescent="0.35">
      <c r="A1592" t="s">
        <v>2433</v>
      </c>
      <c r="B1592" t="s">
        <v>2434</v>
      </c>
    </row>
    <row r="1593" spans="1:2" x14ac:dyDescent="0.35">
      <c r="A1593" t="s">
        <v>2433</v>
      </c>
      <c r="B1593">
        <v>456</v>
      </c>
    </row>
    <row r="1594" spans="1:2" x14ac:dyDescent="0.35">
      <c r="A1594" t="s">
        <v>2435</v>
      </c>
      <c r="B1594">
        <v>1260</v>
      </c>
    </row>
    <row r="1595" spans="1:2" x14ac:dyDescent="0.35">
      <c r="A1595" t="s">
        <v>2436</v>
      </c>
      <c r="B1595">
        <v>262</v>
      </c>
    </row>
    <row r="1596" spans="1:2" x14ac:dyDescent="0.35">
      <c r="A1596" t="s">
        <v>2437</v>
      </c>
      <c r="B1596">
        <v>947</v>
      </c>
    </row>
    <row r="1597" spans="1:2" x14ac:dyDescent="0.35">
      <c r="A1597" t="s">
        <v>2438</v>
      </c>
      <c r="B1597">
        <v>1421</v>
      </c>
    </row>
    <row r="1598" spans="1:2" x14ac:dyDescent="0.35">
      <c r="A1598" t="s">
        <v>2439</v>
      </c>
      <c r="B1598" t="s">
        <v>2440</v>
      </c>
    </row>
    <row r="1599" spans="1:2" x14ac:dyDescent="0.35">
      <c r="A1599" t="s">
        <v>2439</v>
      </c>
      <c r="B1599">
        <v>684</v>
      </c>
    </row>
    <row r="1600" spans="1:2" x14ac:dyDescent="0.35">
      <c r="A1600" t="s">
        <v>2441</v>
      </c>
      <c r="B1600">
        <v>1931</v>
      </c>
    </row>
    <row r="1601" spans="1:2" x14ac:dyDescent="0.35">
      <c r="A1601" t="s">
        <v>2442</v>
      </c>
      <c r="B1601">
        <v>1420</v>
      </c>
    </row>
    <row r="1602" spans="1:2" x14ac:dyDescent="0.35">
      <c r="A1602" t="s">
        <v>2443</v>
      </c>
      <c r="B1602">
        <v>844</v>
      </c>
    </row>
    <row r="1603" spans="1:2" x14ac:dyDescent="0.35">
      <c r="A1603" t="s">
        <v>2444</v>
      </c>
      <c r="B1603" t="s">
        <v>2445</v>
      </c>
    </row>
    <row r="1604" spans="1:2" x14ac:dyDescent="0.35">
      <c r="A1604" t="s">
        <v>2444</v>
      </c>
      <c r="B1604">
        <v>1192</v>
      </c>
    </row>
    <row r="1605" spans="1:2" x14ac:dyDescent="0.35">
      <c r="A1605" t="s">
        <v>2446</v>
      </c>
      <c r="B1605" t="s">
        <v>2447</v>
      </c>
    </row>
    <row r="1606" spans="1:2" x14ac:dyDescent="0.35">
      <c r="A1606" t="s">
        <v>2446</v>
      </c>
      <c r="B1606">
        <v>933</v>
      </c>
    </row>
    <row r="1607" spans="1:2" x14ac:dyDescent="0.35">
      <c r="A1607" t="s">
        <v>2448</v>
      </c>
      <c r="B1607" t="s">
        <v>2449</v>
      </c>
    </row>
    <row r="1608" spans="1:2" x14ac:dyDescent="0.35">
      <c r="A1608" t="s">
        <v>2448</v>
      </c>
      <c r="B1608">
        <v>813</v>
      </c>
    </row>
    <row r="1609" spans="1:2" x14ac:dyDescent="0.35">
      <c r="A1609" t="s">
        <v>2450</v>
      </c>
      <c r="B1609">
        <v>1378</v>
      </c>
    </row>
    <row r="1610" spans="1:2" x14ac:dyDescent="0.35">
      <c r="A1610" t="s">
        <v>2451</v>
      </c>
      <c r="B1610" t="s">
        <v>2452</v>
      </c>
    </row>
    <row r="1611" spans="1:2" x14ac:dyDescent="0.35">
      <c r="A1611" t="s">
        <v>2451</v>
      </c>
      <c r="B1611">
        <v>1580</v>
      </c>
    </row>
    <row r="1612" spans="1:2" x14ac:dyDescent="0.35">
      <c r="A1612" t="s">
        <v>2453</v>
      </c>
      <c r="B1612" t="s">
        <v>2454</v>
      </c>
    </row>
    <row r="1613" spans="1:2" x14ac:dyDescent="0.35">
      <c r="A1613" t="s">
        <v>2453</v>
      </c>
      <c r="B1613">
        <v>870</v>
      </c>
    </row>
    <row r="1614" spans="1:2" x14ac:dyDescent="0.35">
      <c r="A1614" t="s">
        <v>2455</v>
      </c>
      <c r="B1614" t="s">
        <v>2456</v>
      </c>
    </row>
    <row r="1615" spans="1:2" x14ac:dyDescent="0.35">
      <c r="A1615" t="s">
        <v>2455</v>
      </c>
      <c r="B1615">
        <v>1168</v>
      </c>
    </row>
    <row r="1616" spans="1:2" x14ac:dyDescent="0.35">
      <c r="A1616" t="s">
        <v>2457</v>
      </c>
      <c r="B1616" t="s">
        <v>2458</v>
      </c>
    </row>
    <row r="1617" spans="1:2" x14ac:dyDescent="0.35">
      <c r="A1617" t="s">
        <v>2457</v>
      </c>
      <c r="B1617">
        <v>1573</v>
      </c>
    </row>
    <row r="1618" spans="1:2" x14ac:dyDescent="0.35">
      <c r="A1618" t="s">
        <v>2459</v>
      </c>
      <c r="B1618" t="s">
        <v>2460</v>
      </c>
    </row>
    <row r="1619" spans="1:2" x14ac:dyDescent="0.35">
      <c r="A1619" t="s">
        <v>2459</v>
      </c>
      <c r="B1619">
        <v>1245</v>
      </c>
    </row>
    <row r="1620" spans="1:2" x14ac:dyDescent="0.35">
      <c r="A1620" t="s">
        <v>2461</v>
      </c>
      <c r="B1620">
        <v>1312</v>
      </c>
    </row>
    <row r="1621" spans="1:2" x14ac:dyDescent="0.35">
      <c r="A1621" t="s">
        <v>2462</v>
      </c>
      <c r="B1621" t="s">
        <v>2463</v>
      </c>
    </row>
    <row r="1622" spans="1:2" x14ac:dyDescent="0.35">
      <c r="A1622" t="s">
        <v>2462</v>
      </c>
      <c r="B1622">
        <v>196</v>
      </c>
    </row>
    <row r="1623" spans="1:2" x14ac:dyDescent="0.35">
      <c r="A1623" t="s">
        <v>2464</v>
      </c>
      <c r="B1623" t="s">
        <v>2465</v>
      </c>
    </row>
    <row r="1624" spans="1:2" x14ac:dyDescent="0.35">
      <c r="A1624" t="s">
        <v>2464</v>
      </c>
      <c r="B1624">
        <v>1777</v>
      </c>
    </row>
    <row r="1625" spans="1:2" x14ac:dyDescent="0.35">
      <c r="A1625" t="s">
        <v>2466</v>
      </c>
      <c r="B1625" t="s">
        <v>2467</v>
      </c>
    </row>
    <row r="1626" spans="1:2" x14ac:dyDescent="0.35">
      <c r="A1626" t="s">
        <v>2466</v>
      </c>
      <c r="B1626">
        <v>1886</v>
      </c>
    </row>
    <row r="1627" spans="1:2" x14ac:dyDescent="0.35">
      <c r="A1627" t="s">
        <v>2468</v>
      </c>
      <c r="B1627" t="s">
        <v>2469</v>
      </c>
    </row>
    <row r="1628" spans="1:2" x14ac:dyDescent="0.35">
      <c r="A1628" t="s">
        <v>2468</v>
      </c>
      <c r="B1628">
        <v>1690</v>
      </c>
    </row>
    <row r="1629" spans="1:2" x14ac:dyDescent="0.35">
      <c r="A1629" t="s">
        <v>2470</v>
      </c>
      <c r="B1629" t="s">
        <v>2471</v>
      </c>
    </row>
    <row r="1630" spans="1:2" x14ac:dyDescent="0.35">
      <c r="A1630" t="s">
        <v>2470</v>
      </c>
      <c r="B1630">
        <v>1554</v>
      </c>
    </row>
    <row r="1631" spans="1:2" x14ac:dyDescent="0.35">
      <c r="A1631" t="s">
        <v>2472</v>
      </c>
      <c r="B1631" t="s">
        <v>2473</v>
      </c>
    </row>
    <row r="1632" spans="1:2" x14ac:dyDescent="0.35">
      <c r="A1632" t="s">
        <v>2472</v>
      </c>
      <c r="B1632">
        <v>1217</v>
      </c>
    </row>
    <row r="1633" spans="1:2" x14ac:dyDescent="0.35">
      <c r="A1633" t="s">
        <v>2474</v>
      </c>
      <c r="B1633">
        <v>398</v>
      </c>
    </row>
    <row r="1634" spans="1:2" x14ac:dyDescent="0.35">
      <c r="A1634" t="s">
        <v>2475</v>
      </c>
      <c r="B1634" t="s">
        <v>2476</v>
      </c>
    </row>
    <row r="1635" spans="1:2" x14ac:dyDescent="0.35">
      <c r="A1635" t="s">
        <v>2475</v>
      </c>
      <c r="B1635">
        <v>380</v>
      </c>
    </row>
    <row r="1636" spans="1:2" x14ac:dyDescent="0.35">
      <c r="A1636" t="s">
        <v>2477</v>
      </c>
      <c r="B1636" t="s">
        <v>2478</v>
      </c>
    </row>
    <row r="1637" spans="1:2" x14ac:dyDescent="0.35">
      <c r="A1637" t="s">
        <v>2477</v>
      </c>
      <c r="B1637">
        <v>1971</v>
      </c>
    </row>
    <row r="1638" spans="1:2" x14ac:dyDescent="0.35">
      <c r="A1638" t="s">
        <v>2479</v>
      </c>
      <c r="B1638">
        <v>304</v>
      </c>
    </row>
    <row r="1639" spans="1:2" x14ac:dyDescent="0.35">
      <c r="A1639" t="s">
        <v>2480</v>
      </c>
      <c r="B1639">
        <v>1499</v>
      </c>
    </row>
    <row r="1640" spans="1:2" x14ac:dyDescent="0.35">
      <c r="A1640" t="s">
        <v>2481</v>
      </c>
      <c r="B1640" t="s">
        <v>2482</v>
      </c>
    </row>
    <row r="1641" spans="1:2" x14ac:dyDescent="0.35">
      <c r="A1641" t="s">
        <v>2481</v>
      </c>
      <c r="B1641">
        <v>1018</v>
      </c>
    </row>
    <row r="1642" spans="1:2" x14ac:dyDescent="0.35">
      <c r="A1642" t="s">
        <v>2483</v>
      </c>
      <c r="B1642" t="s">
        <v>2484</v>
      </c>
    </row>
    <row r="1643" spans="1:2" x14ac:dyDescent="0.35">
      <c r="A1643" t="s">
        <v>2483</v>
      </c>
      <c r="B1643">
        <v>1897</v>
      </c>
    </row>
    <row r="1644" spans="1:2" x14ac:dyDescent="0.35">
      <c r="A1644" t="s">
        <v>2485</v>
      </c>
      <c r="B1644">
        <v>513</v>
      </c>
    </row>
    <row r="1645" spans="1:2" x14ac:dyDescent="0.35">
      <c r="A1645" t="s">
        <v>2486</v>
      </c>
      <c r="B1645" t="s">
        <v>2487</v>
      </c>
    </row>
    <row r="1646" spans="1:2" x14ac:dyDescent="0.35">
      <c r="A1646" t="s">
        <v>2486</v>
      </c>
      <c r="B1646">
        <v>523</v>
      </c>
    </row>
    <row r="1647" spans="1:2" x14ac:dyDescent="0.35">
      <c r="A1647" t="s">
        <v>2488</v>
      </c>
      <c r="B1647" t="s">
        <v>2489</v>
      </c>
    </row>
    <row r="1648" spans="1:2" x14ac:dyDescent="0.35">
      <c r="A1648" t="s">
        <v>2488</v>
      </c>
      <c r="B1648">
        <v>68</v>
      </c>
    </row>
    <row r="1649" spans="1:2" x14ac:dyDescent="0.35">
      <c r="A1649" t="s">
        <v>2490</v>
      </c>
      <c r="B1649" t="s">
        <v>2491</v>
      </c>
    </row>
    <row r="1650" spans="1:2" x14ac:dyDescent="0.35">
      <c r="A1650" t="s">
        <v>2492</v>
      </c>
      <c r="B1650" t="s">
        <v>2493</v>
      </c>
    </row>
    <row r="1651" spans="1:2" x14ac:dyDescent="0.35">
      <c r="A1651" t="s">
        <v>2492</v>
      </c>
      <c r="B1651">
        <v>1322</v>
      </c>
    </row>
    <row r="1652" spans="1:2" x14ac:dyDescent="0.35">
      <c r="A1652" t="s">
        <v>2494</v>
      </c>
      <c r="B1652">
        <v>2035</v>
      </c>
    </row>
    <row r="1653" spans="1:2" x14ac:dyDescent="0.35">
      <c r="A1653" t="s">
        <v>2495</v>
      </c>
      <c r="B1653" t="s">
        <v>2496</v>
      </c>
    </row>
    <row r="1654" spans="1:2" x14ac:dyDescent="0.35">
      <c r="A1654" t="s">
        <v>2497</v>
      </c>
      <c r="B1654" t="s">
        <v>2498</v>
      </c>
    </row>
    <row r="1655" spans="1:2" x14ac:dyDescent="0.35">
      <c r="A1655" t="s">
        <v>2497</v>
      </c>
      <c r="B1655">
        <v>1577</v>
      </c>
    </row>
    <row r="1656" spans="1:2" x14ac:dyDescent="0.35">
      <c r="A1656" t="s">
        <v>2499</v>
      </c>
      <c r="B1656" t="s">
        <v>2500</v>
      </c>
    </row>
    <row r="1657" spans="1:2" x14ac:dyDescent="0.35">
      <c r="A1657" t="s">
        <v>2499</v>
      </c>
      <c r="B1657">
        <v>1172</v>
      </c>
    </row>
    <row r="1658" spans="1:2" x14ac:dyDescent="0.35">
      <c r="A1658" t="s">
        <v>2501</v>
      </c>
      <c r="B1658" t="s">
        <v>2502</v>
      </c>
    </row>
    <row r="1659" spans="1:2" x14ac:dyDescent="0.35">
      <c r="A1659" t="s">
        <v>2501</v>
      </c>
      <c r="B1659">
        <v>1597</v>
      </c>
    </row>
    <row r="1660" spans="1:2" x14ac:dyDescent="0.35">
      <c r="A1660" t="s">
        <v>2503</v>
      </c>
      <c r="B1660" t="s">
        <v>2504</v>
      </c>
    </row>
    <row r="1661" spans="1:2" x14ac:dyDescent="0.35">
      <c r="A1661" t="s">
        <v>2505</v>
      </c>
      <c r="B1661">
        <v>2092</v>
      </c>
    </row>
    <row r="1662" spans="1:2" x14ac:dyDescent="0.35">
      <c r="A1662" t="s">
        <v>2506</v>
      </c>
      <c r="B1662" t="s">
        <v>2507</v>
      </c>
    </row>
    <row r="1663" spans="1:2" x14ac:dyDescent="0.35">
      <c r="A1663" t="s">
        <v>2506</v>
      </c>
      <c r="B1663">
        <v>56</v>
      </c>
    </row>
    <row r="1664" spans="1:2" x14ac:dyDescent="0.35">
      <c r="A1664" t="s">
        <v>2508</v>
      </c>
      <c r="B1664" t="s">
        <v>2509</v>
      </c>
    </row>
    <row r="1665" spans="1:2" x14ac:dyDescent="0.35">
      <c r="A1665" t="s">
        <v>2508</v>
      </c>
      <c r="B1665">
        <v>1539</v>
      </c>
    </row>
    <row r="1666" spans="1:2" x14ac:dyDescent="0.35">
      <c r="A1666" t="s">
        <v>2510</v>
      </c>
      <c r="B1666">
        <v>790</v>
      </c>
    </row>
    <row r="1667" spans="1:2" x14ac:dyDescent="0.35">
      <c r="A1667" t="s">
        <v>2511</v>
      </c>
      <c r="B1667">
        <v>1955</v>
      </c>
    </row>
    <row r="1668" spans="1:2" x14ac:dyDescent="0.35">
      <c r="A1668" t="s">
        <v>2512</v>
      </c>
      <c r="B1668">
        <v>219</v>
      </c>
    </row>
    <row r="1669" spans="1:2" x14ac:dyDescent="0.35">
      <c r="A1669" t="s">
        <v>2513</v>
      </c>
      <c r="B1669" t="s">
        <v>2514</v>
      </c>
    </row>
    <row r="1670" spans="1:2" x14ac:dyDescent="0.35">
      <c r="A1670" t="s">
        <v>2513</v>
      </c>
      <c r="B1670">
        <v>638</v>
      </c>
    </row>
    <row r="1671" spans="1:2" x14ac:dyDescent="0.35">
      <c r="A1671" t="s">
        <v>2515</v>
      </c>
      <c r="B1671">
        <v>1952</v>
      </c>
    </row>
    <row r="1672" spans="1:2" x14ac:dyDescent="0.35">
      <c r="A1672" t="s">
        <v>2516</v>
      </c>
      <c r="B1672" t="s">
        <v>2517</v>
      </c>
    </row>
    <row r="1673" spans="1:2" x14ac:dyDescent="0.35">
      <c r="A1673" t="s">
        <v>2516</v>
      </c>
      <c r="B1673">
        <v>985</v>
      </c>
    </row>
    <row r="1674" spans="1:2" x14ac:dyDescent="0.35">
      <c r="A1674" t="s">
        <v>2518</v>
      </c>
      <c r="B1674" t="s">
        <v>2519</v>
      </c>
    </row>
    <row r="1675" spans="1:2" x14ac:dyDescent="0.35">
      <c r="A1675" t="s">
        <v>2518</v>
      </c>
      <c r="B1675">
        <v>288</v>
      </c>
    </row>
    <row r="1676" spans="1:2" x14ac:dyDescent="0.35">
      <c r="A1676" t="s">
        <v>2520</v>
      </c>
      <c r="B1676" t="s">
        <v>2521</v>
      </c>
    </row>
    <row r="1677" spans="1:2" x14ac:dyDescent="0.35">
      <c r="A1677" t="s">
        <v>2520</v>
      </c>
      <c r="B1677">
        <v>1290</v>
      </c>
    </row>
    <row r="1678" spans="1:2" x14ac:dyDescent="0.35">
      <c r="A1678" t="s">
        <v>2522</v>
      </c>
      <c r="B1678" t="s">
        <v>2523</v>
      </c>
    </row>
    <row r="1679" spans="1:2" x14ac:dyDescent="0.35">
      <c r="A1679" t="s">
        <v>2522</v>
      </c>
      <c r="B1679">
        <v>558</v>
      </c>
    </row>
    <row r="1680" spans="1:2" x14ac:dyDescent="0.35">
      <c r="A1680" t="s">
        <v>2524</v>
      </c>
      <c r="B1680" t="s">
        <v>2525</v>
      </c>
    </row>
    <row r="1681" spans="1:2" x14ac:dyDescent="0.35">
      <c r="A1681" t="s">
        <v>2524</v>
      </c>
      <c r="B1681">
        <v>1501</v>
      </c>
    </row>
    <row r="1682" spans="1:2" x14ac:dyDescent="0.35">
      <c r="A1682" t="s">
        <v>2526</v>
      </c>
      <c r="B1682" t="s">
        <v>2527</v>
      </c>
    </row>
    <row r="1683" spans="1:2" x14ac:dyDescent="0.35">
      <c r="A1683" t="s">
        <v>2526</v>
      </c>
      <c r="B1683">
        <v>911</v>
      </c>
    </row>
    <row r="1684" spans="1:2" x14ac:dyDescent="0.35">
      <c r="A1684" t="s">
        <v>2528</v>
      </c>
      <c r="B1684" t="s">
        <v>2529</v>
      </c>
    </row>
    <row r="1685" spans="1:2" x14ac:dyDescent="0.35">
      <c r="A1685" t="s">
        <v>2528</v>
      </c>
      <c r="B1685">
        <v>1445</v>
      </c>
    </row>
    <row r="1686" spans="1:2" x14ac:dyDescent="0.35">
      <c r="A1686" t="s">
        <v>2530</v>
      </c>
      <c r="B1686" t="s">
        <v>2531</v>
      </c>
    </row>
    <row r="1687" spans="1:2" x14ac:dyDescent="0.35">
      <c r="A1687" t="s">
        <v>2530</v>
      </c>
      <c r="B1687">
        <v>2090</v>
      </c>
    </row>
    <row r="1688" spans="1:2" x14ac:dyDescent="0.35">
      <c r="A1688" t="s">
        <v>2532</v>
      </c>
      <c r="B1688" t="s">
        <v>2533</v>
      </c>
    </row>
    <row r="1689" spans="1:2" x14ac:dyDescent="0.35">
      <c r="A1689" t="s">
        <v>2532</v>
      </c>
      <c r="B1689">
        <v>1756</v>
      </c>
    </row>
    <row r="1690" spans="1:2" x14ac:dyDescent="0.35">
      <c r="A1690" t="s">
        <v>2534</v>
      </c>
      <c r="B1690" t="s">
        <v>2535</v>
      </c>
    </row>
    <row r="1691" spans="1:2" x14ac:dyDescent="0.35">
      <c r="A1691" t="s">
        <v>2534</v>
      </c>
      <c r="B1691">
        <v>318</v>
      </c>
    </row>
    <row r="1692" spans="1:2" x14ac:dyDescent="0.35">
      <c r="A1692" t="s">
        <v>2536</v>
      </c>
      <c r="B1692" t="s">
        <v>2537</v>
      </c>
    </row>
    <row r="1693" spans="1:2" x14ac:dyDescent="0.35">
      <c r="A1693" t="s">
        <v>2536</v>
      </c>
      <c r="B1693">
        <v>52</v>
      </c>
    </row>
    <row r="1694" spans="1:2" x14ac:dyDescent="0.35">
      <c r="A1694" t="s">
        <v>2538</v>
      </c>
      <c r="B1694" t="s">
        <v>2539</v>
      </c>
    </row>
    <row r="1695" spans="1:2" x14ac:dyDescent="0.35">
      <c r="A1695" t="s">
        <v>2538</v>
      </c>
      <c r="B1695">
        <v>201</v>
      </c>
    </row>
    <row r="1696" spans="1:2" x14ac:dyDescent="0.35">
      <c r="A1696" t="s">
        <v>2540</v>
      </c>
      <c r="B1696">
        <v>1062</v>
      </c>
    </row>
    <row r="1697" spans="1:2" x14ac:dyDescent="0.35">
      <c r="A1697" t="s">
        <v>2541</v>
      </c>
      <c r="B1697" t="s">
        <v>2542</v>
      </c>
    </row>
    <row r="1698" spans="1:2" x14ac:dyDescent="0.35">
      <c r="A1698" t="s">
        <v>2541</v>
      </c>
      <c r="B1698">
        <v>589</v>
      </c>
    </row>
    <row r="1699" spans="1:2" x14ac:dyDescent="0.35">
      <c r="A1699" t="s">
        <v>2543</v>
      </c>
      <c r="B1699" t="s">
        <v>2544</v>
      </c>
    </row>
    <row r="1700" spans="1:2" x14ac:dyDescent="0.35">
      <c r="A1700" t="s">
        <v>2543</v>
      </c>
      <c r="B1700">
        <v>951</v>
      </c>
    </row>
    <row r="1701" spans="1:2" x14ac:dyDescent="0.35">
      <c r="A1701" t="s">
        <v>2545</v>
      </c>
      <c r="B1701">
        <v>730</v>
      </c>
    </row>
    <row r="1702" spans="1:2" x14ac:dyDescent="0.35">
      <c r="A1702" t="s">
        <v>2546</v>
      </c>
      <c r="B1702">
        <v>1844</v>
      </c>
    </row>
    <row r="1703" spans="1:2" x14ac:dyDescent="0.35">
      <c r="A1703" t="s">
        <v>2547</v>
      </c>
      <c r="B1703" t="s">
        <v>2548</v>
      </c>
    </row>
    <row r="1704" spans="1:2" x14ac:dyDescent="0.35">
      <c r="A1704" t="s">
        <v>2547</v>
      </c>
      <c r="B1704">
        <v>268</v>
      </c>
    </row>
    <row r="1705" spans="1:2" x14ac:dyDescent="0.35">
      <c r="A1705" t="s">
        <v>2549</v>
      </c>
      <c r="B1705">
        <v>495</v>
      </c>
    </row>
    <row r="1706" spans="1:2" x14ac:dyDescent="0.35">
      <c r="A1706" t="s">
        <v>2550</v>
      </c>
      <c r="B1706" t="s">
        <v>2551</v>
      </c>
    </row>
    <row r="1707" spans="1:2" x14ac:dyDescent="0.35">
      <c r="A1707" t="s">
        <v>2550</v>
      </c>
      <c r="B1707">
        <v>879</v>
      </c>
    </row>
    <row r="1708" spans="1:2" x14ac:dyDescent="0.35">
      <c r="A1708" t="s">
        <v>2552</v>
      </c>
      <c r="B1708" t="s">
        <v>2553</v>
      </c>
    </row>
    <row r="1709" spans="1:2" x14ac:dyDescent="0.35">
      <c r="A1709" t="s">
        <v>2552</v>
      </c>
      <c r="B1709">
        <v>1582</v>
      </c>
    </row>
    <row r="1710" spans="1:2" x14ac:dyDescent="0.35">
      <c r="A1710" t="s">
        <v>2554</v>
      </c>
      <c r="B1710" t="s">
        <v>2555</v>
      </c>
    </row>
    <row r="1711" spans="1:2" x14ac:dyDescent="0.35">
      <c r="A1711" t="s">
        <v>2554</v>
      </c>
      <c r="B1711">
        <v>795</v>
      </c>
    </row>
    <row r="1712" spans="1:2" x14ac:dyDescent="0.35">
      <c r="A1712" t="s">
        <v>2556</v>
      </c>
      <c r="B1712" t="s">
        <v>2557</v>
      </c>
    </row>
    <row r="1713" spans="1:2" x14ac:dyDescent="0.35">
      <c r="A1713" t="s">
        <v>2556</v>
      </c>
      <c r="B1713">
        <v>1384</v>
      </c>
    </row>
    <row r="1714" spans="1:2" x14ac:dyDescent="0.35">
      <c r="A1714" t="s">
        <v>2558</v>
      </c>
      <c r="B1714" t="s">
        <v>2559</v>
      </c>
    </row>
    <row r="1715" spans="1:2" x14ac:dyDescent="0.35">
      <c r="A1715" t="s">
        <v>2558</v>
      </c>
      <c r="B1715">
        <v>1440</v>
      </c>
    </row>
    <row r="1716" spans="1:2" x14ac:dyDescent="0.35">
      <c r="A1716" t="s">
        <v>2560</v>
      </c>
      <c r="B1716" t="s">
        <v>2561</v>
      </c>
    </row>
    <row r="1717" spans="1:2" x14ac:dyDescent="0.35">
      <c r="A1717" t="s">
        <v>2560</v>
      </c>
      <c r="B1717">
        <v>792</v>
      </c>
    </row>
    <row r="1718" spans="1:2" x14ac:dyDescent="0.35">
      <c r="A1718" t="s">
        <v>2562</v>
      </c>
      <c r="B1718" t="s">
        <v>2563</v>
      </c>
    </row>
    <row r="1719" spans="1:2" x14ac:dyDescent="0.35">
      <c r="A1719" t="s">
        <v>2562</v>
      </c>
      <c r="B1719">
        <v>1536</v>
      </c>
    </row>
    <row r="1720" spans="1:2" x14ac:dyDescent="0.35">
      <c r="A1720" t="s">
        <v>2564</v>
      </c>
      <c r="B1720" t="s">
        <v>2565</v>
      </c>
    </row>
    <row r="1721" spans="1:2" x14ac:dyDescent="0.35">
      <c r="A1721" t="s">
        <v>2564</v>
      </c>
      <c r="B1721">
        <v>447</v>
      </c>
    </row>
    <row r="1722" spans="1:2" x14ac:dyDescent="0.35">
      <c r="A1722" t="s">
        <v>2566</v>
      </c>
      <c r="B1722" t="s">
        <v>2567</v>
      </c>
    </row>
    <row r="1723" spans="1:2" x14ac:dyDescent="0.35">
      <c r="A1723" t="s">
        <v>2566</v>
      </c>
      <c r="B1723">
        <v>1825</v>
      </c>
    </row>
    <row r="1724" spans="1:2" x14ac:dyDescent="0.35">
      <c r="A1724" t="s">
        <v>2568</v>
      </c>
      <c r="B1724" t="s">
        <v>2569</v>
      </c>
    </row>
    <row r="1725" spans="1:2" x14ac:dyDescent="0.35">
      <c r="A1725" t="s">
        <v>2568</v>
      </c>
      <c r="B1725">
        <v>1738</v>
      </c>
    </row>
    <row r="1726" spans="1:2" x14ac:dyDescent="0.35">
      <c r="A1726" t="s">
        <v>2570</v>
      </c>
      <c r="B1726" t="s">
        <v>2571</v>
      </c>
    </row>
    <row r="1727" spans="1:2" x14ac:dyDescent="0.35">
      <c r="A1727" t="s">
        <v>2570</v>
      </c>
      <c r="B1727">
        <v>1670</v>
      </c>
    </row>
    <row r="1728" spans="1:2" x14ac:dyDescent="0.35">
      <c r="A1728" t="s">
        <v>2572</v>
      </c>
      <c r="B1728" t="s">
        <v>2573</v>
      </c>
    </row>
    <row r="1729" spans="1:2" x14ac:dyDescent="0.35">
      <c r="A1729" t="s">
        <v>2572</v>
      </c>
      <c r="B1729">
        <v>1962</v>
      </c>
    </row>
    <row r="1730" spans="1:2" x14ac:dyDescent="0.35">
      <c r="A1730" t="s">
        <v>2574</v>
      </c>
      <c r="B1730" t="s">
        <v>2575</v>
      </c>
    </row>
    <row r="1731" spans="1:2" x14ac:dyDescent="0.35">
      <c r="A1731" t="s">
        <v>2574</v>
      </c>
      <c r="B1731">
        <v>1617</v>
      </c>
    </row>
    <row r="1732" spans="1:2" x14ac:dyDescent="0.35">
      <c r="A1732" t="s">
        <v>2576</v>
      </c>
      <c r="B1732" t="s">
        <v>2577</v>
      </c>
    </row>
    <row r="1733" spans="1:2" x14ac:dyDescent="0.35">
      <c r="A1733" t="s">
        <v>2576</v>
      </c>
      <c r="B1733">
        <v>427</v>
      </c>
    </row>
    <row r="1734" spans="1:2" x14ac:dyDescent="0.35">
      <c r="A1734" t="s">
        <v>2578</v>
      </c>
      <c r="B1734" t="s">
        <v>2579</v>
      </c>
    </row>
    <row r="1735" spans="1:2" x14ac:dyDescent="0.35">
      <c r="A1735" t="s">
        <v>2578</v>
      </c>
      <c r="B1735">
        <v>1332</v>
      </c>
    </row>
    <row r="1736" spans="1:2" x14ac:dyDescent="0.35">
      <c r="A1736" t="s">
        <v>2580</v>
      </c>
      <c r="B1736" t="s">
        <v>2581</v>
      </c>
    </row>
    <row r="1737" spans="1:2" x14ac:dyDescent="0.35">
      <c r="A1737" t="s">
        <v>2580</v>
      </c>
      <c r="B1737">
        <v>1044</v>
      </c>
    </row>
    <row r="1738" spans="1:2" x14ac:dyDescent="0.35">
      <c r="A1738" t="s">
        <v>2582</v>
      </c>
      <c r="B1738" t="s">
        <v>2583</v>
      </c>
    </row>
    <row r="1739" spans="1:2" x14ac:dyDescent="0.35">
      <c r="A1739" t="s">
        <v>2582</v>
      </c>
      <c r="B1739">
        <v>1505</v>
      </c>
    </row>
    <row r="1740" spans="1:2" x14ac:dyDescent="0.35">
      <c r="A1740" t="s">
        <v>2584</v>
      </c>
      <c r="B1740" t="s">
        <v>2585</v>
      </c>
    </row>
    <row r="1741" spans="1:2" x14ac:dyDescent="0.35">
      <c r="A1741" t="s">
        <v>2584</v>
      </c>
      <c r="B1741">
        <v>257</v>
      </c>
    </row>
    <row r="1742" spans="1:2" x14ac:dyDescent="0.35">
      <c r="A1742" t="s">
        <v>2586</v>
      </c>
      <c r="B1742" t="s">
        <v>2587</v>
      </c>
    </row>
    <row r="1743" spans="1:2" x14ac:dyDescent="0.35">
      <c r="A1743" t="s">
        <v>2586</v>
      </c>
      <c r="B1743">
        <v>2161</v>
      </c>
    </row>
    <row r="1744" spans="1:2" x14ac:dyDescent="0.35">
      <c r="A1744" t="s">
        <v>2588</v>
      </c>
      <c r="B1744">
        <v>1139</v>
      </c>
    </row>
    <row r="1745" spans="1:2" x14ac:dyDescent="0.35">
      <c r="A1745" t="s">
        <v>2589</v>
      </c>
      <c r="B1745">
        <v>193</v>
      </c>
    </row>
    <row r="1746" spans="1:2" x14ac:dyDescent="0.35">
      <c r="A1746" t="s">
        <v>2590</v>
      </c>
      <c r="B1746">
        <v>859</v>
      </c>
    </row>
    <row r="1747" spans="1:2" x14ac:dyDescent="0.35">
      <c r="A1747" t="s">
        <v>2591</v>
      </c>
      <c r="B1747">
        <v>642</v>
      </c>
    </row>
    <row r="1748" spans="1:2" x14ac:dyDescent="0.35">
      <c r="A1748" t="s">
        <v>2592</v>
      </c>
      <c r="B1748" t="s">
        <v>2593</v>
      </c>
    </row>
    <row r="1749" spans="1:2" x14ac:dyDescent="0.35">
      <c r="A1749" t="s">
        <v>2592</v>
      </c>
      <c r="B1749">
        <v>1611</v>
      </c>
    </row>
    <row r="1750" spans="1:2" x14ac:dyDescent="0.35">
      <c r="A1750" t="s">
        <v>2594</v>
      </c>
      <c r="B1750" t="s">
        <v>2595</v>
      </c>
    </row>
    <row r="1751" spans="1:2" x14ac:dyDescent="0.35">
      <c r="A1751" t="s">
        <v>2594</v>
      </c>
      <c r="B1751">
        <v>98</v>
      </c>
    </row>
    <row r="1752" spans="1:2" x14ac:dyDescent="0.35">
      <c r="A1752" t="s">
        <v>2596</v>
      </c>
      <c r="B1752" t="s">
        <v>2597</v>
      </c>
    </row>
    <row r="1753" spans="1:2" x14ac:dyDescent="0.35">
      <c r="A1753" t="s">
        <v>2596</v>
      </c>
      <c r="B1753">
        <v>2016</v>
      </c>
    </row>
    <row r="1754" spans="1:2" x14ac:dyDescent="0.35">
      <c r="A1754" t="s">
        <v>2598</v>
      </c>
      <c r="B1754" t="s">
        <v>2599</v>
      </c>
    </row>
    <row r="1755" spans="1:2" x14ac:dyDescent="0.35">
      <c r="A1755" t="s">
        <v>2598</v>
      </c>
      <c r="B1755">
        <v>775</v>
      </c>
    </row>
    <row r="1756" spans="1:2" x14ac:dyDescent="0.35">
      <c r="A1756" t="s">
        <v>2600</v>
      </c>
      <c r="B1756">
        <v>1569</v>
      </c>
    </row>
    <row r="1757" spans="1:2" x14ac:dyDescent="0.35">
      <c r="A1757" t="s">
        <v>2601</v>
      </c>
      <c r="B1757">
        <v>532</v>
      </c>
    </row>
    <row r="1758" spans="1:2" x14ac:dyDescent="0.35">
      <c r="A1758" t="s">
        <v>2602</v>
      </c>
      <c r="B1758" t="s">
        <v>2603</v>
      </c>
    </row>
    <row r="1759" spans="1:2" x14ac:dyDescent="0.35">
      <c r="A1759" t="s">
        <v>2602</v>
      </c>
      <c r="B1759">
        <v>511</v>
      </c>
    </row>
    <row r="1760" spans="1:2" x14ac:dyDescent="0.35">
      <c r="A1760" t="s">
        <v>2604</v>
      </c>
      <c r="B1760" t="s">
        <v>2605</v>
      </c>
    </row>
    <row r="1761" spans="1:2" x14ac:dyDescent="0.35">
      <c r="A1761" t="s">
        <v>2604</v>
      </c>
      <c r="B1761">
        <v>367</v>
      </c>
    </row>
    <row r="1762" spans="1:2" x14ac:dyDescent="0.35">
      <c r="A1762" t="s">
        <v>2606</v>
      </c>
      <c r="B1762">
        <v>1847</v>
      </c>
    </row>
    <row r="1763" spans="1:2" x14ac:dyDescent="0.35">
      <c r="A1763" t="s">
        <v>2607</v>
      </c>
      <c r="B1763">
        <v>1805</v>
      </c>
    </row>
    <row r="1764" spans="1:2" x14ac:dyDescent="0.35">
      <c r="A1764" t="s">
        <v>2608</v>
      </c>
      <c r="B1764" t="s">
        <v>2609</v>
      </c>
    </row>
    <row r="1765" spans="1:2" x14ac:dyDescent="0.35">
      <c r="A1765" t="s">
        <v>2608</v>
      </c>
      <c r="B1765">
        <v>940</v>
      </c>
    </row>
    <row r="1766" spans="1:2" x14ac:dyDescent="0.35">
      <c r="A1766" t="s">
        <v>2610</v>
      </c>
      <c r="B1766" t="s">
        <v>2611</v>
      </c>
    </row>
    <row r="1767" spans="1:2" x14ac:dyDescent="0.35">
      <c r="A1767" t="s">
        <v>2610</v>
      </c>
      <c r="B1767">
        <v>664</v>
      </c>
    </row>
    <row r="1768" spans="1:2" x14ac:dyDescent="0.35">
      <c r="A1768" t="s">
        <v>2612</v>
      </c>
      <c r="B1768">
        <v>1437</v>
      </c>
    </row>
    <row r="1769" spans="1:2" x14ac:dyDescent="0.35">
      <c r="A1769" t="s">
        <v>2613</v>
      </c>
      <c r="B1769">
        <v>981</v>
      </c>
    </row>
    <row r="1770" spans="1:2" x14ac:dyDescent="0.35">
      <c r="A1770" t="s">
        <v>2614</v>
      </c>
      <c r="B1770">
        <v>1093</v>
      </c>
    </row>
    <row r="1771" spans="1:2" x14ac:dyDescent="0.35">
      <c r="A1771" t="s">
        <v>2615</v>
      </c>
      <c r="B1771">
        <v>1759</v>
      </c>
    </row>
    <row r="1772" spans="1:2" x14ac:dyDescent="0.35">
      <c r="A1772" t="s">
        <v>2616</v>
      </c>
      <c r="B1772">
        <v>261</v>
      </c>
    </row>
    <row r="1773" spans="1:2" x14ac:dyDescent="0.35">
      <c r="A1773" t="s">
        <v>2617</v>
      </c>
      <c r="B1773" t="s">
        <v>2618</v>
      </c>
    </row>
    <row r="1774" spans="1:2" x14ac:dyDescent="0.35">
      <c r="A1774" t="s">
        <v>2617</v>
      </c>
      <c r="B1774">
        <v>1966</v>
      </c>
    </row>
    <row r="1775" spans="1:2" x14ac:dyDescent="0.35">
      <c r="A1775" t="s">
        <v>2619</v>
      </c>
      <c r="B1775" t="s">
        <v>2620</v>
      </c>
    </row>
    <row r="1776" spans="1:2" x14ac:dyDescent="0.35">
      <c r="A1776" t="s">
        <v>2619</v>
      </c>
      <c r="B1776">
        <v>1284</v>
      </c>
    </row>
    <row r="1777" spans="1:2" x14ac:dyDescent="0.35">
      <c r="A1777" t="s">
        <v>2621</v>
      </c>
      <c r="B1777" t="s">
        <v>2622</v>
      </c>
    </row>
    <row r="1778" spans="1:2" x14ac:dyDescent="0.35">
      <c r="A1778" t="s">
        <v>2621</v>
      </c>
      <c r="B1778">
        <v>377</v>
      </c>
    </row>
    <row r="1779" spans="1:2" x14ac:dyDescent="0.35">
      <c r="A1779" t="s">
        <v>2623</v>
      </c>
      <c r="B1779" t="s">
        <v>2624</v>
      </c>
    </row>
    <row r="1780" spans="1:2" x14ac:dyDescent="0.35">
      <c r="A1780" t="s">
        <v>2623</v>
      </c>
      <c r="B1780">
        <v>305</v>
      </c>
    </row>
    <row r="1781" spans="1:2" x14ac:dyDescent="0.35">
      <c r="A1781" t="s">
        <v>2625</v>
      </c>
      <c r="B1781" t="s">
        <v>2626</v>
      </c>
    </row>
    <row r="1782" spans="1:2" x14ac:dyDescent="0.35">
      <c r="A1782" t="s">
        <v>2625</v>
      </c>
      <c r="B1782">
        <v>1009</v>
      </c>
    </row>
    <row r="1783" spans="1:2" x14ac:dyDescent="0.35">
      <c r="A1783" t="s">
        <v>2627</v>
      </c>
      <c r="B1783" t="s">
        <v>2628</v>
      </c>
    </row>
    <row r="1784" spans="1:2" x14ac:dyDescent="0.35">
      <c r="A1784" t="s">
        <v>2627</v>
      </c>
      <c r="B1784">
        <v>1525</v>
      </c>
    </row>
    <row r="1785" spans="1:2" x14ac:dyDescent="0.35">
      <c r="A1785" t="s">
        <v>2629</v>
      </c>
      <c r="B1785" t="s">
        <v>2630</v>
      </c>
    </row>
    <row r="1786" spans="1:2" x14ac:dyDescent="0.35">
      <c r="A1786" t="s">
        <v>2629</v>
      </c>
      <c r="B1786">
        <v>1989</v>
      </c>
    </row>
    <row r="1787" spans="1:2" x14ac:dyDescent="0.35">
      <c r="A1787" t="s">
        <v>2631</v>
      </c>
      <c r="B1787" t="s">
        <v>2632</v>
      </c>
    </row>
    <row r="1788" spans="1:2" x14ac:dyDescent="0.35">
      <c r="A1788" t="s">
        <v>2631</v>
      </c>
      <c r="B1788">
        <v>1223</v>
      </c>
    </row>
    <row r="1789" spans="1:2" x14ac:dyDescent="0.35">
      <c r="A1789" t="s">
        <v>2633</v>
      </c>
      <c r="B1789" t="s">
        <v>2634</v>
      </c>
    </row>
    <row r="1790" spans="1:2" x14ac:dyDescent="0.35">
      <c r="A1790" t="s">
        <v>2633</v>
      </c>
      <c r="B1790">
        <v>394</v>
      </c>
    </row>
    <row r="1791" spans="1:2" x14ac:dyDescent="0.35">
      <c r="A1791" t="s">
        <v>2635</v>
      </c>
      <c r="B1791" t="s">
        <v>2636</v>
      </c>
    </row>
    <row r="1792" spans="1:2" x14ac:dyDescent="0.35">
      <c r="A1792" t="s">
        <v>2635</v>
      </c>
      <c r="B1792">
        <v>1815</v>
      </c>
    </row>
    <row r="1793" spans="1:2" x14ac:dyDescent="0.35">
      <c r="A1793" t="s">
        <v>2637</v>
      </c>
      <c r="B1793" t="s">
        <v>2638</v>
      </c>
    </row>
    <row r="1794" spans="1:2" x14ac:dyDescent="0.35">
      <c r="A1794" t="s">
        <v>2637</v>
      </c>
      <c r="B1794">
        <v>1959</v>
      </c>
    </row>
    <row r="1795" spans="1:2" x14ac:dyDescent="0.35">
      <c r="A1795" t="s">
        <v>2639</v>
      </c>
      <c r="B1795" t="s">
        <v>2640</v>
      </c>
    </row>
    <row r="1796" spans="1:2" x14ac:dyDescent="0.35">
      <c r="A1796" t="s">
        <v>2639</v>
      </c>
      <c r="B1796">
        <v>2135</v>
      </c>
    </row>
    <row r="1797" spans="1:2" x14ac:dyDescent="0.35">
      <c r="A1797" t="s">
        <v>2641</v>
      </c>
      <c r="B1797" t="s">
        <v>2642</v>
      </c>
    </row>
    <row r="1798" spans="1:2" x14ac:dyDescent="0.35">
      <c r="A1798" t="s">
        <v>2641</v>
      </c>
      <c r="B1798">
        <v>1375</v>
      </c>
    </row>
    <row r="1799" spans="1:2" x14ac:dyDescent="0.35">
      <c r="A1799" t="s">
        <v>2643</v>
      </c>
      <c r="B1799" t="s">
        <v>2644</v>
      </c>
    </row>
    <row r="1800" spans="1:2" x14ac:dyDescent="0.35">
      <c r="A1800" t="s">
        <v>2643</v>
      </c>
      <c r="B1800">
        <v>116</v>
      </c>
    </row>
    <row r="1801" spans="1:2" x14ac:dyDescent="0.35">
      <c r="A1801" t="s">
        <v>2645</v>
      </c>
      <c r="B1801" t="s">
        <v>2646</v>
      </c>
    </row>
    <row r="1802" spans="1:2" x14ac:dyDescent="0.35">
      <c r="A1802" t="s">
        <v>2645</v>
      </c>
      <c r="B1802">
        <v>945</v>
      </c>
    </row>
    <row r="1803" spans="1:2" x14ac:dyDescent="0.35">
      <c r="A1803" t="s">
        <v>2647</v>
      </c>
      <c r="B1803" t="s">
        <v>2648</v>
      </c>
    </row>
    <row r="1804" spans="1:2" x14ac:dyDescent="0.35">
      <c r="A1804" t="s">
        <v>2647</v>
      </c>
      <c r="B1804">
        <v>816</v>
      </c>
    </row>
    <row r="1805" spans="1:2" x14ac:dyDescent="0.35">
      <c r="A1805" t="s">
        <v>2649</v>
      </c>
      <c r="B1805" t="s">
        <v>2650</v>
      </c>
    </row>
    <row r="1806" spans="1:2" x14ac:dyDescent="0.35">
      <c r="A1806" t="s">
        <v>2649</v>
      </c>
      <c r="B1806">
        <v>1631</v>
      </c>
    </row>
    <row r="1807" spans="1:2" x14ac:dyDescent="0.35">
      <c r="A1807" t="s">
        <v>2651</v>
      </c>
      <c r="B1807" t="s">
        <v>2652</v>
      </c>
    </row>
    <row r="1808" spans="1:2" x14ac:dyDescent="0.35">
      <c r="A1808" t="s">
        <v>2651</v>
      </c>
      <c r="B1808">
        <v>424</v>
      </c>
    </row>
    <row r="1809" spans="1:2" x14ac:dyDescent="0.35">
      <c r="A1809" t="s">
        <v>2653</v>
      </c>
      <c r="B1809">
        <v>1684</v>
      </c>
    </row>
    <row r="1810" spans="1:2" x14ac:dyDescent="0.35">
      <c r="A1810" t="s">
        <v>2654</v>
      </c>
      <c r="B1810" t="s">
        <v>2655</v>
      </c>
    </row>
    <row r="1811" spans="1:2" x14ac:dyDescent="0.35">
      <c r="A1811" t="s">
        <v>2654</v>
      </c>
      <c r="B1811">
        <v>1945</v>
      </c>
    </row>
    <row r="1812" spans="1:2" x14ac:dyDescent="0.35">
      <c r="A1812" t="s">
        <v>2656</v>
      </c>
      <c r="B1812">
        <v>372</v>
      </c>
    </row>
    <row r="1813" spans="1:2" x14ac:dyDescent="0.35">
      <c r="A1813" t="s">
        <v>2657</v>
      </c>
      <c r="B1813" t="s">
        <v>2658</v>
      </c>
    </row>
    <row r="1814" spans="1:2" x14ac:dyDescent="0.35">
      <c r="A1814" t="s">
        <v>2657</v>
      </c>
      <c r="B1814">
        <v>1105</v>
      </c>
    </row>
    <row r="1815" spans="1:2" x14ac:dyDescent="0.35">
      <c r="A1815" t="s">
        <v>2659</v>
      </c>
      <c r="B1815">
        <v>312</v>
      </c>
    </row>
    <row r="1816" spans="1:2" x14ac:dyDescent="0.35">
      <c r="A1816" t="s">
        <v>2660</v>
      </c>
      <c r="B1816" t="s">
        <v>2661</v>
      </c>
    </row>
    <row r="1817" spans="1:2" x14ac:dyDescent="0.35">
      <c r="A1817" t="s">
        <v>2660</v>
      </c>
      <c r="B1817">
        <v>501</v>
      </c>
    </row>
    <row r="1818" spans="1:2" x14ac:dyDescent="0.35">
      <c r="A1818" t="s">
        <v>2662</v>
      </c>
      <c r="B1818" t="s">
        <v>2663</v>
      </c>
    </row>
    <row r="1819" spans="1:2" x14ac:dyDescent="0.35">
      <c r="A1819" t="s">
        <v>2662</v>
      </c>
      <c r="B1819">
        <v>2066</v>
      </c>
    </row>
    <row r="1820" spans="1:2" x14ac:dyDescent="0.35">
      <c r="A1820" t="s">
        <v>2664</v>
      </c>
      <c r="B1820" t="s">
        <v>2665</v>
      </c>
    </row>
    <row r="1821" spans="1:2" x14ac:dyDescent="0.35">
      <c r="A1821" t="s">
        <v>2664</v>
      </c>
      <c r="B1821">
        <v>1523</v>
      </c>
    </row>
    <row r="1822" spans="1:2" x14ac:dyDescent="0.35">
      <c r="A1822" t="s">
        <v>2666</v>
      </c>
      <c r="B1822" t="s">
        <v>2667</v>
      </c>
    </row>
    <row r="1823" spans="1:2" x14ac:dyDescent="0.35">
      <c r="A1823" t="s">
        <v>2666</v>
      </c>
      <c r="B1823">
        <v>1206</v>
      </c>
    </row>
    <row r="1824" spans="1:2" x14ac:dyDescent="0.35">
      <c r="A1824" t="s">
        <v>2668</v>
      </c>
      <c r="B1824" t="s">
        <v>2669</v>
      </c>
    </row>
    <row r="1825" spans="1:2" x14ac:dyDescent="0.35">
      <c r="A1825" t="s">
        <v>2668</v>
      </c>
      <c r="B1825">
        <v>2041</v>
      </c>
    </row>
    <row r="1826" spans="1:2" x14ac:dyDescent="0.35">
      <c r="A1826" t="s">
        <v>2670</v>
      </c>
      <c r="B1826" t="s">
        <v>2671</v>
      </c>
    </row>
    <row r="1827" spans="1:2" x14ac:dyDescent="0.35">
      <c r="A1827" t="s">
        <v>2670</v>
      </c>
      <c r="B1827">
        <v>1212</v>
      </c>
    </row>
    <row r="1828" spans="1:2" x14ac:dyDescent="0.35">
      <c r="A1828" t="s">
        <v>2672</v>
      </c>
      <c r="B1828" t="s">
        <v>2673</v>
      </c>
    </row>
    <row r="1829" spans="1:2" x14ac:dyDescent="0.35">
      <c r="A1829" t="s">
        <v>2672</v>
      </c>
      <c r="B1829">
        <v>1114</v>
      </c>
    </row>
    <row r="1830" spans="1:2" x14ac:dyDescent="0.35">
      <c r="A1830" t="s">
        <v>2674</v>
      </c>
      <c r="B1830" t="s">
        <v>2675</v>
      </c>
    </row>
    <row r="1831" spans="1:2" x14ac:dyDescent="0.35">
      <c r="A1831" t="s">
        <v>2674</v>
      </c>
      <c r="B1831">
        <v>1022</v>
      </c>
    </row>
    <row r="1832" spans="1:2" x14ac:dyDescent="0.35">
      <c r="A1832" t="s">
        <v>2676</v>
      </c>
      <c r="B1832" t="s">
        <v>2677</v>
      </c>
    </row>
    <row r="1833" spans="1:2" x14ac:dyDescent="0.35">
      <c r="A1833" t="s">
        <v>2676</v>
      </c>
      <c r="B1833">
        <v>1016</v>
      </c>
    </row>
    <row r="1834" spans="1:2" x14ac:dyDescent="0.35">
      <c r="A1834" t="s">
        <v>2678</v>
      </c>
      <c r="B1834" t="s">
        <v>2679</v>
      </c>
    </row>
    <row r="1835" spans="1:2" x14ac:dyDescent="0.35">
      <c r="A1835" t="s">
        <v>2678</v>
      </c>
      <c r="B1835">
        <v>1720</v>
      </c>
    </row>
    <row r="1836" spans="1:2" x14ac:dyDescent="0.35">
      <c r="A1836" t="s">
        <v>2680</v>
      </c>
      <c r="B1836" t="s">
        <v>2681</v>
      </c>
    </row>
    <row r="1837" spans="1:2" x14ac:dyDescent="0.35">
      <c r="A1837" t="s">
        <v>2680</v>
      </c>
      <c r="B1837">
        <v>1892</v>
      </c>
    </row>
    <row r="1838" spans="1:2" x14ac:dyDescent="0.35">
      <c r="A1838" t="s">
        <v>2682</v>
      </c>
      <c r="B1838" t="s">
        <v>2683</v>
      </c>
    </row>
    <row r="1839" spans="1:2" x14ac:dyDescent="0.35">
      <c r="A1839" t="s">
        <v>2682</v>
      </c>
      <c r="B1839">
        <v>793</v>
      </c>
    </row>
    <row r="1840" spans="1:2" x14ac:dyDescent="0.35">
      <c r="A1840" t="s">
        <v>2684</v>
      </c>
      <c r="B1840" t="s">
        <v>2685</v>
      </c>
    </row>
    <row r="1841" spans="1:2" x14ac:dyDescent="0.35">
      <c r="A1841" t="s">
        <v>2684</v>
      </c>
      <c r="B1841">
        <v>996</v>
      </c>
    </row>
    <row r="1842" spans="1:2" x14ac:dyDescent="0.35">
      <c r="A1842" t="s">
        <v>2686</v>
      </c>
      <c r="B1842" t="s">
        <v>2687</v>
      </c>
    </row>
    <row r="1843" spans="1:2" x14ac:dyDescent="0.35">
      <c r="A1843" t="s">
        <v>2686</v>
      </c>
      <c r="B1843">
        <v>1362</v>
      </c>
    </row>
    <row r="1844" spans="1:2" x14ac:dyDescent="0.35">
      <c r="A1844" t="s">
        <v>2688</v>
      </c>
      <c r="B1844" t="s">
        <v>2689</v>
      </c>
    </row>
    <row r="1845" spans="1:2" x14ac:dyDescent="0.35">
      <c r="A1845" t="s">
        <v>2688</v>
      </c>
      <c r="B1845">
        <v>1780</v>
      </c>
    </row>
    <row r="1846" spans="1:2" x14ac:dyDescent="0.35">
      <c r="A1846" t="s">
        <v>2690</v>
      </c>
      <c r="B1846" t="s">
        <v>2691</v>
      </c>
    </row>
    <row r="1847" spans="1:2" x14ac:dyDescent="0.35">
      <c r="A1847" t="s">
        <v>2690</v>
      </c>
      <c r="B1847">
        <v>1297</v>
      </c>
    </row>
    <row r="1848" spans="1:2" x14ac:dyDescent="0.35">
      <c r="A1848" t="s">
        <v>2692</v>
      </c>
      <c r="B1848" t="s">
        <v>2693</v>
      </c>
    </row>
    <row r="1849" spans="1:2" x14ac:dyDescent="0.35">
      <c r="A1849" t="s">
        <v>2692</v>
      </c>
      <c r="B1849">
        <v>564</v>
      </c>
    </row>
    <row r="1850" spans="1:2" x14ac:dyDescent="0.35">
      <c r="A1850" t="s">
        <v>2694</v>
      </c>
      <c r="B1850" t="s">
        <v>2695</v>
      </c>
    </row>
    <row r="1851" spans="1:2" x14ac:dyDescent="0.35">
      <c r="A1851" t="s">
        <v>2694</v>
      </c>
      <c r="B1851">
        <v>417</v>
      </c>
    </row>
    <row r="1852" spans="1:2" x14ac:dyDescent="0.35">
      <c r="A1852" t="s">
        <v>2696</v>
      </c>
      <c r="B1852" t="s">
        <v>2697</v>
      </c>
    </row>
    <row r="1853" spans="1:2" x14ac:dyDescent="0.35">
      <c r="A1853" t="s">
        <v>2696</v>
      </c>
      <c r="B1853">
        <v>550</v>
      </c>
    </row>
    <row r="1854" spans="1:2" x14ac:dyDescent="0.35">
      <c r="A1854" t="s">
        <v>2698</v>
      </c>
      <c r="B1854">
        <v>2128</v>
      </c>
    </row>
    <row r="1855" spans="1:2" x14ac:dyDescent="0.35">
      <c r="A1855" t="s">
        <v>2699</v>
      </c>
      <c r="B1855" t="s">
        <v>2700</v>
      </c>
    </row>
    <row r="1856" spans="1:2" x14ac:dyDescent="0.35">
      <c r="A1856" t="s">
        <v>2699</v>
      </c>
      <c r="B1856">
        <v>839</v>
      </c>
    </row>
    <row r="1857" spans="1:2" x14ac:dyDescent="0.35">
      <c r="A1857" t="s">
        <v>2701</v>
      </c>
      <c r="B1857" t="s">
        <v>2702</v>
      </c>
    </row>
    <row r="1858" spans="1:2" x14ac:dyDescent="0.35">
      <c r="A1858" t="s">
        <v>2701</v>
      </c>
      <c r="B1858">
        <v>1880</v>
      </c>
    </row>
    <row r="1859" spans="1:2" x14ac:dyDescent="0.35">
      <c r="A1859" t="s">
        <v>2703</v>
      </c>
      <c r="B1859">
        <v>1784</v>
      </c>
    </row>
    <row r="1860" spans="1:2" x14ac:dyDescent="0.35">
      <c r="A1860" t="s">
        <v>2704</v>
      </c>
      <c r="B1860">
        <v>571</v>
      </c>
    </row>
    <row r="1861" spans="1:2" x14ac:dyDescent="0.35">
      <c r="A1861" t="s">
        <v>2705</v>
      </c>
      <c r="B1861">
        <v>119</v>
      </c>
    </row>
    <row r="1862" spans="1:2" x14ac:dyDescent="0.35">
      <c r="A1862" t="s">
        <v>2706</v>
      </c>
      <c r="B1862">
        <v>479</v>
      </c>
    </row>
    <row r="1863" spans="1:2" x14ac:dyDescent="0.35">
      <c r="A1863" t="s">
        <v>2707</v>
      </c>
      <c r="B1863">
        <v>450</v>
      </c>
    </row>
    <row r="1864" spans="1:2" x14ac:dyDescent="0.35">
      <c r="A1864" t="s">
        <v>2708</v>
      </c>
      <c r="B1864">
        <v>1325</v>
      </c>
    </row>
    <row r="1865" spans="1:2" x14ac:dyDescent="0.35">
      <c r="A1865" t="s">
        <v>2709</v>
      </c>
      <c r="B1865">
        <v>521</v>
      </c>
    </row>
    <row r="1866" spans="1:2" x14ac:dyDescent="0.35">
      <c r="A1866" t="s">
        <v>2710</v>
      </c>
      <c r="B1866" t="s">
        <v>2711</v>
      </c>
    </row>
    <row r="1867" spans="1:2" x14ac:dyDescent="0.35">
      <c r="A1867" t="s">
        <v>2710</v>
      </c>
      <c r="B1867">
        <v>2031</v>
      </c>
    </row>
    <row r="1868" spans="1:2" x14ac:dyDescent="0.35">
      <c r="A1868" t="s">
        <v>2712</v>
      </c>
      <c r="B1868" t="s">
        <v>2713</v>
      </c>
    </row>
    <row r="1869" spans="1:2" x14ac:dyDescent="0.35">
      <c r="A1869" t="s">
        <v>2712</v>
      </c>
      <c r="B1869">
        <v>356</v>
      </c>
    </row>
    <row r="1870" spans="1:2" x14ac:dyDescent="0.35">
      <c r="A1870" t="s">
        <v>2714</v>
      </c>
      <c r="B1870" t="s">
        <v>2715</v>
      </c>
    </row>
    <row r="1871" spans="1:2" x14ac:dyDescent="0.35">
      <c r="A1871" t="s">
        <v>2714</v>
      </c>
      <c r="B1871">
        <v>785</v>
      </c>
    </row>
    <row r="1872" spans="1:2" x14ac:dyDescent="0.35">
      <c r="A1872" t="s">
        <v>2716</v>
      </c>
      <c r="B1872" t="s">
        <v>2717</v>
      </c>
    </row>
    <row r="1873" spans="1:2" x14ac:dyDescent="0.35">
      <c r="A1873" t="s">
        <v>2716</v>
      </c>
      <c r="B1873">
        <v>1668</v>
      </c>
    </row>
    <row r="1874" spans="1:2" x14ac:dyDescent="0.35">
      <c r="A1874" t="s">
        <v>2718</v>
      </c>
      <c r="B1874">
        <v>654</v>
      </c>
    </row>
    <row r="1875" spans="1:2" x14ac:dyDescent="0.35">
      <c r="A1875" t="s">
        <v>2719</v>
      </c>
      <c r="B1875">
        <v>1929</v>
      </c>
    </row>
    <row r="1876" spans="1:2" x14ac:dyDescent="0.35">
      <c r="A1876" t="s">
        <v>2720</v>
      </c>
      <c r="B1876">
        <v>658</v>
      </c>
    </row>
    <row r="1877" spans="1:2" x14ac:dyDescent="0.35">
      <c r="A1877" t="s">
        <v>2721</v>
      </c>
      <c r="B1877">
        <v>590</v>
      </c>
    </row>
    <row r="1878" spans="1:2" x14ac:dyDescent="0.35">
      <c r="A1878" t="s">
        <v>2722</v>
      </c>
      <c r="B1878" t="s">
        <v>2723</v>
      </c>
    </row>
    <row r="1879" spans="1:2" x14ac:dyDescent="0.35">
      <c r="A1879" t="s">
        <v>2722</v>
      </c>
      <c r="B1879">
        <v>718</v>
      </c>
    </row>
    <row r="1880" spans="1:2" x14ac:dyDescent="0.35">
      <c r="A1880" t="s">
        <v>2724</v>
      </c>
      <c r="B1880" t="s">
        <v>2725</v>
      </c>
    </row>
    <row r="1881" spans="1:2" x14ac:dyDescent="0.35">
      <c r="A1881" t="s">
        <v>2724</v>
      </c>
      <c r="B1881">
        <v>973</v>
      </c>
    </row>
    <row r="1882" spans="1:2" x14ac:dyDescent="0.35">
      <c r="A1882" t="s">
        <v>2726</v>
      </c>
      <c r="B1882">
        <v>1128</v>
      </c>
    </row>
    <row r="1883" spans="1:2" x14ac:dyDescent="0.35">
      <c r="A1883" t="s">
        <v>2727</v>
      </c>
      <c r="B1883">
        <v>104</v>
      </c>
    </row>
    <row r="1884" spans="1:2" x14ac:dyDescent="0.35">
      <c r="A1884" t="s">
        <v>2728</v>
      </c>
      <c r="B1884">
        <v>1442</v>
      </c>
    </row>
    <row r="1885" spans="1:2" x14ac:dyDescent="0.35">
      <c r="A1885" t="s">
        <v>2729</v>
      </c>
      <c r="B1885">
        <v>653</v>
      </c>
    </row>
    <row r="1886" spans="1:2" x14ac:dyDescent="0.35">
      <c r="A1886" t="s">
        <v>2730</v>
      </c>
      <c r="B1886">
        <v>610</v>
      </c>
    </row>
    <row r="1887" spans="1:2" x14ac:dyDescent="0.35">
      <c r="A1887" t="s">
        <v>2731</v>
      </c>
      <c r="B1887">
        <v>1265</v>
      </c>
    </row>
    <row r="1888" spans="1:2" x14ac:dyDescent="0.35">
      <c r="A1888" t="s">
        <v>2732</v>
      </c>
      <c r="B1888" t="s">
        <v>2733</v>
      </c>
    </row>
    <row r="1889" spans="1:2" x14ac:dyDescent="0.35">
      <c r="A1889" t="s">
        <v>2732</v>
      </c>
      <c r="B1889">
        <v>797</v>
      </c>
    </row>
    <row r="1890" spans="1:2" x14ac:dyDescent="0.35">
      <c r="A1890" t="s">
        <v>2734</v>
      </c>
      <c r="B1890" t="s">
        <v>2735</v>
      </c>
    </row>
    <row r="1891" spans="1:2" x14ac:dyDescent="0.35">
      <c r="A1891" t="s">
        <v>2734</v>
      </c>
      <c r="B1891">
        <v>1123</v>
      </c>
    </row>
    <row r="1892" spans="1:2" x14ac:dyDescent="0.35">
      <c r="A1892" t="s">
        <v>2736</v>
      </c>
      <c r="B1892" t="s">
        <v>2737</v>
      </c>
    </row>
    <row r="1893" spans="1:2" x14ac:dyDescent="0.35">
      <c r="A1893" t="s">
        <v>2736</v>
      </c>
      <c r="B1893">
        <v>1389</v>
      </c>
    </row>
    <row r="1894" spans="1:2" x14ac:dyDescent="0.35">
      <c r="A1894" t="s">
        <v>2738</v>
      </c>
      <c r="B1894">
        <v>1911</v>
      </c>
    </row>
    <row r="1895" spans="1:2" x14ac:dyDescent="0.35">
      <c r="A1895" t="s">
        <v>2739</v>
      </c>
      <c r="B1895" t="s">
        <v>2740</v>
      </c>
    </row>
    <row r="1896" spans="1:2" x14ac:dyDescent="0.35">
      <c r="A1896" t="s">
        <v>2739</v>
      </c>
      <c r="B1896">
        <v>269</v>
      </c>
    </row>
    <row r="1897" spans="1:2" x14ac:dyDescent="0.35">
      <c r="A1897" t="s">
        <v>2741</v>
      </c>
      <c r="B1897" t="s">
        <v>2742</v>
      </c>
    </row>
    <row r="1898" spans="1:2" x14ac:dyDescent="0.35">
      <c r="A1898" t="s">
        <v>2741</v>
      </c>
      <c r="B1898">
        <v>253</v>
      </c>
    </row>
    <row r="1899" spans="1:2" x14ac:dyDescent="0.35">
      <c r="A1899" t="s">
        <v>2743</v>
      </c>
      <c r="B1899" t="s">
        <v>2744</v>
      </c>
    </row>
    <row r="1900" spans="1:2" x14ac:dyDescent="0.35">
      <c r="A1900" t="s">
        <v>2743</v>
      </c>
      <c r="B1900">
        <v>1814</v>
      </c>
    </row>
    <row r="1901" spans="1:2" x14ac:dyDescent="0.35">
      <c r="A1901" t="s">
        <v>2745</v>
      </c>
      <c r="B1901">
        <v>1489</v>
      </c>
    </row>
    <row r="1902" spans="1:2" x14ac:dyDescent="0.35">
      <c r="A1902" t="s">
        <v>2746</v>
      </c>
      <c r="B1902" t="s">
        <v>2747</v>
      </c>
    </row>
    <row r="1903" spans="1:2" x14ac:dyDescent="0.35">
      <c r="A1903" t="s">
        <v>2746</v>
      </c>
      <c r="B1903">
        <v>823</v>
      </c>
    </row>
    <row r="1904" spans="1:2" x14ac:dyDescent="0.35">
      <c r="A1904" t="s">
        <v>2748</v>
      </c>
      <c r="B1904" t="s">
        <v>2749</v>
      </c>
    </row>
    <row r="1905" spans="1:2" x14ac:dyDescent="0.35">
      <c r="A1905" t="s">
        <v>2748</v>
      </c>
      <c r="B1905">
        <v>631</v>
      </c>
    </row>
    <row r="1906" spans="1:2" x14ac:dyDescent="0.35">
      <c r="A1906" t="s">
        <v>2750</v>
      </c>
      <c r="B1906" t="s">
        <v>2751</v>
      </c>
    </row>
    <row r="1907" spans="1:2" x14ac:dyDescent="0.35">
      <c r="A1907" t="s">
        <v>2750</v>
      </c>
      <c r="B1907">
        <v>406</v>
      </c>
    </row>
    <row r="1908" spans="1:2" x14ac:dyDescent="0.35">
      <c r="A1908" t="s">
        <v>2752</v>
      </c>
      <c r="B1908" t="s">
        <v>2753</v>
      </c>
    </row>
    <row r="1909" spans="1:2" x14ac:dyDescent="0.35">
      <c r="A1909" t="s">
        <v>2752</v>
      </c>
      <c r="B1909">
        <v>2054</v>
      </c>
    </row>
    <row r="1910" spans="1:2" x14ac:dyDescent="0.35">
      <c r="A1910" t="s">
        <v>2754</v>
      </c>
      <c r="B1910" t="s">
        <v>2755</v>
      </c>
    </row>
    <row r="1911" spans="1:2" x14ac:dyDescent="0.35">
      <c r="A1911" t="s">
        <v>2754</v>
      </c>
      <c r="B1911">
        <v>1776</v>
      </c>
    </row>
    <row r="1912" spans="1:2" x14ac:dyDescent="0.35">
      <c r="A1912" t="s">
        <v>2756</v>
      </c>
      <c r="B1912" t="s">
        <v>2757</v>
      </c>
    </row>
    <row r="1913" spans="1:2" x14ac:dyDescent="0.35">
      <c r="A1913" t="s">
        <v>2756</v>
      </c>
      <c r="B1913">
        <v>1530</v>
      </c>
    </row>
    <row r="1914" spans="1:2" x14ac:dyDescent="0.35">
      <c r="A1914" t="s">
        <v>2758</v>
      </c>
      <c r="B1914" t="s">
        <v>2759</v>
      </c>
    </row>
    <row r="1915" spans="1:2" x14ac:dyDescent="0.35">
      <c r="A1915" t="s">
        <v>2758</v>
      </c>
      <c r="B1915">
        <v>1241</v>
      </c>
    </row>
    <row r="1916" spans="1:2" x14ac:dyDescent="0.35">
      <c r="A1916" t="s">
        <v>2760</v>
      </c>
      <c r="B1916" t="s">
        <v>2761</v>
      </c>
    </row>
    <row r="1917" spans="1:2" x14ac:dyDescent="0.35">
      <c r="A1917" t="s">
        <v>2760</v>
      </c>
      <c r="B1917">
        <v>2052</v>
      </c>
    </row>
    <row r="1918" spans="1:2" x14ac:dyDescent="0.35">
      <c r="A1918" t="s">
        <v>2762</v>
      </c>
      <c r="B1918">
        <v>1314</v>
      </c>
    </row>
    <row r="1919" spans="1:2" x14ac:dyDescent="0.35">
      <c r="A1919" t="s">
        <v>2763</v>
      </c>
      <c r="B1919" t="s">
        <v>2764</v>
      </c>
    </row>
    <row r="1920" spans="1:2" x14ac:dyDescent="0.35">
      <c r="A1920" t="s">
        <v>2763</v>
      </c>
      <c r="B1920">
        <v>414</v>
      </c>
    </row>
    <row r="1921" spans="1:2" x14ac:dyDescent="0.35">
      <c r="A1921" t="s">
        <v>2765</v>
      </c>
      <c r="B1921" t="s">
        <v>2766</v>
      </c>
    </row>
    <row r="1922" spans="1:2" x14ac:dyDescent="0.35">
      <c r="A1922" t="s">
        <v>2765</v>
      </c>
      <c r="B1922">
        <v>692</v>
      </c>
    </row>
    <row r="1923" spans="1:2" x14ac:dyDescent="0.35">
      <c r="A1923" t="s">
        <v>2767</v>
      </c>
      <c r="B1923" t="s">
        <v>2768</v>
      </c>
    </row>
    <row r="1924" spans="1:2" x14ac:dyDescent="0.35">
      <c r="A1924" t="s">
        <v>2767</v>
      </c>
      <c r="B1924">
        <v>96</v>
      </c>
    </row>
    <row r="1925" spans="1:2" x14ac:dyDescent="0.35">
      <c r="A1925" t="s">
        <v>2769</v>
      </c>
      <c r="B1925" t="s">
        <v>2770</v>
      </c>
    </row>
    <row r="1926" spans="1:2" x14ac:dyDescent="0.35">
      <c r="A1926" t="s">
        <v>2769</v>
      </c>
      <c r="B1926">
        <v>1678</v>
      </c>
    </row>
    <row r="1927" spans="1:2" x14ac:dyDescent="0.35">
      <c r="A1927" t="s">
        <v>2771</v>
      </c>
      <c r="B1927" t="s">
        <v>2772</v>
      </c>
    </row>
    <row r="1928" spans="1:2" x14ac:dyDescent="0.35">
      <c r="A1928" t="s">
        <v>2771</v>
      </c>
      <c r="B1928">
        <v>2034</v>
      </c>
    </row>
    <row r="1929" spans="1:2" x14ac:dyDescent="0.35">
      <c r="A1929" t="s">
        <v>2773</v>
      </c>
      <c r="B1929" t="s">
        <v>2774</v>
      </c>
    </row>
    <row r="1930" spans="1:2" x14ac:dyDescent="0.35">
      <c r="A1930" t="s">
        <v>2773</v>
      </c>
      <c r="B1930">
        <v>752</v>
      </c>
    </row>
    <row r="1931" spans="1:2" x14ac:dyDescent="0.35">
      <c r="A1931" t="s">
        <v>2775</v>
      </c>
      <c r="B1931" t="s">
        <v>2776</v>
      </c>
    </row>
    <row r="1932" spans="1:2" x14ac:dyDescent="0.35">
      <c r="A1932" t="s">
        <v>2775</v>
      </c>
      <c r="B1932">
        <v>333</v>
      </c>
    </row>
    <row r="1933" spans="1:2" x14ac:dyDescent="0.35">
      <c r="A1933" t="s">
        <v>2777</v>
      </c>
      <c r="B1933" t="s">
        <v>2778</v>
      </c>
    </row>
    <row r="1934" spans="1:2" x14ac:dyDescent="0.35">
      <c r="A1934" t="s">
        <v>2777</v>
      </c>
      <c r="B1934">
        <v>1671</v>
      </c>
    </row>
    <row r="1935" spans="1:2" x14ac:dyDescent="0.35">
      <c r="A1935" t="s">
        <v>2779</v>
      </c>
      <c r="B1935">
        <v>1770</v>
      </c>
    </row>
    <row r="1936" spans="1:2" x14ac:dyDescent="0.35">
      <c r="A1936" t="s">
        <v>2780</v>
      </c>
      <c r="B1936" t="s">
        <v>2781</v>
      </c>
    </row>
    <row r="1937" spans="1:2" x14ac:dyDescent="0.35">
      <c r="A1937" t="s">
        <v>2780</v>
      </c>
      <c r="B1937">
        <v>363</v>
      </c>
    </row>
    <row r="1938" spans="1:2" x14ac:dyDescent="0.35">
      <c r="A1938" t="s">
        <v>2782</v>
      </c>
      <c r="B1938" t="s">
        <v>2783</v>
      </c>
    </row>
    <row r="1939" spans="1:2" x14ac:dyDescent="0.35">
      <c r="A1939" t="s">
        <v>2784</v>
      </c>
      <c r="B1939" t="s">
        <v>2785</v>
      </c>
    </row>
    <row r="1940" spans="1:2" x14ac:dyDescent="0.35">
      <c r="A1940" t="s">
        <v>2784</v>
      </c>
      <c r="B1940">
        <v>278</v>
      </c>
    </row>
    <row r="1941" spans="1:2" x14ac:dyDescent="0.35">
      <c r="A1941" t="s">
        <v>2786</v>
      </c>
      <c r="B1941">
        <v>1903</v>
      </c>
    </row>
    <row r="1942" spans="1:2" x14ac:dyDescent="0.35">
      <c r="A1942" t="s">
        <v>2787</v>
      </c>
      <c r="B1942" t="s">
        <v>2788</v>
      </c>
    </row>
    <row r="1943" spans="1:2" x14ac:dyDescent="0.35">
      <c r="A1943" t="s">
        <v>2787</v>
      </c>
      <c r="B1943">
        <v>917</v>
      </c>
    </row>
    <row r="1944" spans="1:2" x14ac:dyDescent="0.35">
      <c r="A1944" t="s">
        <v>2789</v>
      </c>
      <c r="B1944" t="s">
        <v>2790</v>
      </c>
    </row>
    <row r="1945" spans="1:2" x14ac:dyDescent="0.35">
      <c r="A1945" t="s">
        <v>2791</v>
      </c>
      <c r="B1945" t="s">
        <v>2792</v>
      </c>
    </row>
    <row r="1946" spans="1:2" x14ac:dyDescent="0.35">
      <c r="A1946" t="s">
        <v>2791</v>
      </c>
      <c r="B1946">
        <v>868</v>
      </c>
    </row>
    <row r="1947" spans="1:2" x14ac:dyDescent="0.35">
      <c r="A1947" t="s">
        <v>2793</v>
      </c>
      <c r="B1947" t="s">
        <v>2794</v>
      </c>
    </row>
    <row r="1948" spans="1:2" x14ac:dyDescent="0.35">
      <c r="A1948" t="s">
        <v>2795</v>
      </c>
      <c r="B1948" t="s">
        <v>2796</v>
      </c>
    </row>
    <row r="1949" spans="1:2" x14ac:dyDescent="0.35">
      <c r="A1949" t="s">
        <v>2795</v>
      </c>
      <c r="B1949">
        <v>1644</v>
      </c>
    </row>
    <row r="1950" spans="1:2" x14ac:dyDescent="0.35">
      <c r="A1950" t="s">
        <v>2797</v>
      </c>
      <c r="B1950">
        <v>2005</v>
      </c>
    </row>
    <row r="1951" spans="1:2" x14ac:dyDescent="0.35">
      <c r="A1951" t="s">
        <v>2798</v>
      </c>
      <c r="B1951" t="s">
        <v>2799</v>
      </c>
    </row>
    <row r="1952" spans="1:2" x14ac:dyDescent="0.35">
      <c r="A1952" t="s">
        <v>2798</v>
      </c>
      <c r="B1952">
        <v>1566</v>
      </c>
    </row>
    <row r="1953" spans="1:2" x14ac:dyDescent="0.35">
      <c r="A1953" t="s">
        <v>2800</v>
      </c>
      <c r="B1953" t="s">
        <v>2801</v>
      </c>
    </row>
    <row r="1954" spans="1:2" x14ac:dyDescent="0.35">
      <c r="A1954" t="s">
        <v>2800</v>
      </c>
      <c r="B1954">
        <v>1066</v>
      </c>
    </row>
    <row r="1955" spans="1:2" x14ac:dyDescent="0.35">
      <c r="A1955" t="s">
        <v>2802</v>
      </c>
      <c r="B1955">
        <v>1478</v>
      </c>
    </row>
    <row r="1956" spans="1:2" x14ac:dyDescent="0.35">
      <c r="A1956" t="s">
        <v>2803</v>
      </c>
      <c r="B1956">
        <v>162</v>
      </c>
    </row>
    <row r="1957" spans="1:2" x14ac:dyDescent="0.35">
      <c r="A1957" t="s">
        <v>2804</v>
      </c>
      <c r="B1957">
        <v>1894</v>
      </c>
    </row>
    <row r="1958" spans="1:2" x14ac:dyDescent="0.35">
      <c r="A1958" t="s">
        <v>2805</v>
      </c>
      <c r="B1958">
        <v>956</v>
      </c>
    </row>
    <row r="1959" spans="1:2" x14ac:dyDescent="0.35">
      <c r="A1959" t="s">
        <v>2806</v>
      </c>
      <c r="B1959">
        <v>2151</v>
      </c>
    </row>
    <row r="1960" spans="1:2" x14ac:dyDescent="0.35">
      <c r="A1960" t="s">
        <v>2807</v>
      </c>
      <c r="B1960">
        <v>218</v>
      </c>
    </row>
    <row r="1961" spans="1:2" x14ac:dyDescent="0.35">
      <c r="A1961" t="s">
        <v>2808</v>
      </c>
      <c r="B1961">
        <v>2173</v>
      </c>
    </row>
    <row r="1962" spans="1:2" x14ac:dyDescent="0.35">
      <c r="A1962" t="s">
        <v>2809</v>
      </c>
      <c r="B1962">
        <v>2095</v>
      </c>
    </row>
    <row r="1963" spans="1:2" x14ac:dyDescent="0.35">
      <c r="A1963" t="s">
        <v>2810</v>
      </c>
      <c r="B1963" t="s">
        <v>2811</v>
      </c>
    </row>
    <row r="1964" spans="1:2" x14ac:dyDescent="0.35">
      <c r="A1964" t="s">
        <v>2810</v>
      </c>
      <c r="B1964">
        <v>1367</v>
      </c>
    </row>
    <row r="1965" spans="1:2" x14ac:dyDescent="0.35">
      <c r="A1965" t="s">
        <v>2812</v>
      </c>
      <c r="B1965" t="s">
        <v>2813</v>
      </c>
    </row>
    <row r="1966" spans="1:2" x14ac:dyDescent="0.35">
      <c r="A1966" t="s">
        <v>2812</v>
      </c>
      <c r="B1966">
        <v>2004</v>
      </c>
    </row>
    <row r="1967" spans="1:2" x14ac:dyDescent="0.35">
      <c r="A1967" t="s">
        <v>2814</v>
      </c>
      <c r="B1967" t="s">
        <v>2815</v>
      </c>
    </row>
    <row r="1968" spans="1:2" x14ac:dyDescent="0.35">
      <c r="A1968" t="s">
        <v>2814</v>
      </c>
      <c r="B1968">
        <v>2013</v>
      </c>
    </row>
    <row r="1969" spans="1:2" x14ac:dyDescent="0.35">
      <c r="A1969" t="s">
        <v>2816</v>
      </c>
      <c r="B1969">
        <v>1748</v>
      </c>
    </row>
    <row r="1970" spans="1:2" x14ac:dyDescent="0.35">
      <c r="A1970" t="s">
        <v>2817</v>
      </c>
      <c r="B1970" t="s">
        <v>2818</v>
      </c>
    </row>
    <row r="1971" spans="1:2" x14ac:dyDescent="0.35">
      <c r="A1971" t="s">
        <v>2817</v>
      </c>
      <c r="B1971">
        <v>2080</v>
      </c>
    </row>
    <row r="1972" spans="1:2" x14ac:dyDescent="0.35">
      <c r="A1972" t="s">
        <v>2819</v>
      </c>
      <c r="B1972" t="s">
        <v>2820</v>
      </c>
    </row>
    <row r="1973" spans="1:2" x14ac:dyDescent="0.35">
      <c r="A1973" t="s">
        <v>2819</v>
      </c>
      <c r="B1973">
        <v>263</v>
      </c>
    </row>
    <row r="1974" spans="1:2" x14ac:dyDescent="0.35">
      <c r="A1974" t="s">
        <v>2821</v>
      </c>
      <c r="B1974" t="s">
        <v>2822</v>
      </c>
    </row>
    <row r="1975" spans="1:2" x14ac:dyDescent="0.35">
      <c r="A1975" t="s">
        <v>2821</v>
      </c>
      <c r="B1975">
        <v>2129</v>
      </c>
    </row>
    <row r="1976" spans="1:2" x14ac:dyDescent="0.35">
      <c r="A1976" t="s">
        <v>2823</v>
      </c>
      <c r="B1976" t="s">
        <v>2824</v>
      </c>
    </row>
    <row r="1977" spans="1:2" x14ac:dyDescent="0.35">
      <c r="A1977" t="s">
        <v>2823</v>
      </c>
      <c r="B1977">
        <v>1424</v>
      </c>
    </row>
    <row r="1978" spans="1:2" x14ac:dyDescent="0.35">
      <c r="A1978" t="s">
        <v>2825</v>
      </c>
      <c r="B1978">
        <v>1333</v>
      </c>
    </row>
    <row r="1979" spans="1:2" x14ac:dyDescent="0.35">
      <c r="A1979" t="s">
        <v>2826</v>
      </c>
      <c r="B1979" t="s">
        <v>2827</v>
      </c>
    </row>
    <row r="1980" spans="1:2" x14ac:dyDescent="0.35">
      <c r="A1980" t="s">
        <v>2826</v>
      </c>
      <c r="B1980">
        <v>1907</v>
      </c>
    </row>
    <row r="1981" spans="1:2" x14ac:dyDescent="0.35">
      <c r="A1981" t="s">
        <v>2828</v>
      </c>
      <c r="B1981" t="s">
        <v>2829</v>
      </c>
    </row>
    <row r="1982" spans="1:2" x14ac:dyDescent="0.35">
      <c r="A1982" t="s">
        <v>2828</v>
      </c>
      <c r="B1982">
        <v>1000</v>
      </c>
    </row>
    <row r="1983" spans="1:2" x14ac:dyDescent="0.35">
      <c r="A1983" t="s">
        <v>2830</v>
      </c>
      <c r="B1983" t="s">
        <v>2831</v>
      </c>
    </row>
    <row r="1984" spans="1:2" x14ac:dyDescent="0.35">
      <c r="A1984" t="s">
        <v>2830</v>
      </c>
      <c r="B1984">
        <v>1282</v>
      </c>
    </row>
    <row r="1985" spans="1:2" x14ac:dyDescent="0.35">
      <c r="A1985" t="s">
        <v>2832</v>
      </c>
      <c r="B1985" t="s">
        <v>2833</v>
      </c>
    </row>
    <row r="1986" spans="1:2" x14ac:dyDescent="0.35">
      <c r="A1986" t="s">
        <v>2832</v>
      </c>
      <c r="B1986">
        <v>1012</v>
      </c>
    </row>
    <row r="1987" spans="1:2" x14ac:dyDescent="0.35">
      <c r="A1987" t="s">
        <v>2834</v>
      </c>
      <c r="B1987">
        <v>2141</v>
      </c>
    </row>
    <row r="1988" spans="1:2" x14ac:dyDescent="0.35">
      <c r="A1988" t="s">
        <v>2835</v>
      </c>
      <c r="B1988" t="s">
        <v>2836</v>
      </c>
    </row>
    <row r="1989" spans="1:2" x14ac:dyDescent="0.35">
      <c r="A1989" t="s">
        <v>2835</v>
      </c>
      <c r="B1989">
        <v>169</v>
      </c>
    </row>
  </sheetData>
  <autoFilter ref="A1:B1" xr:uid="{010AAA3D-E8E5-4B35-97B3-BB4D1291B6B9}">
    <sortState xmlns:xlrd2="http://schemas.microsoft.com/office/spreadsheetml/2017/richdata2" ref="A2:B1987">
      <sortCondition ref="A1"/>
    </sortState>
  </autoFilter>
  <pageMargins left="0.7" right="0.7" top="0.75" bottom="0.75" header="0.3" footer="0.3"/>
  <pageSetup paperSize="9" orientation="portrait" r:id="rId1"/>
  <headerFooter>
    <oddHeader>&amp;R&amp;"Calibri"&amp;10&amp;K000000Internal Use&amp;1#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6704D-D6E5-49A1-8CDE-0F301EE88A60}">
  <sheetPr codeName="Sheet2"/>
  <dimension ref="B1:AD6"/>
  <sheetViews>
    <sheetView tabSelected="1" zoomScale="80" zoomScaleNormal="80" workbookViewId="0">
      <selection activeCell="D1" sqref="D1"/>
    </sheetView>
  </sheetViews>
  <sheetFormatPr defaultColWidth="9.1796875" defaultRowHeight="14.5" x14ac:dyDescent="0.35"/>
  <cols>
    <col min="1" max="1" width="40.6328125" style="1" customWidth="1"/>
    <col min="2" max="2" width="37.26953125" style="1" bestFit="1" customWidth="1"/>
    <col min="3" max="3" width="19.453125" style="1" bestFit="1" customWidth="1"/>
    <col min="4" max="4" width="2.7265625" style="1" customWidth="1"/>
    <col min="5" max="5" width="9.453125" style="1" bestFit="1" customWidth="1"/>
    <col min="6" max="6" width="2" style="1" bestFit="1" customWidth="1"/>
    <col min="7" max="7" width="9.1796875" style="1"/>
    <col min="8" max="8" width="31" style="1" bestFit="1" customWidth="1"/>
    <col min="9" max="29" width="9.1796875" style="1"/>
    <col min="30" max="30" width="255.7265625" style="1" bestFit="1" customWidth="1"/>
    <col min="31" max="16384" width="9.1796875" style="1"/>
  </cols>
  <sheetData>
    <row r="1" spans="2:30" ht="15" thickBot="1" x14ac:dyDescent="0.4">
      <c r="AD1"/>
    </row>
    <row r="2" spans="2:30" ht="15.5" thickTop="1" thickBot="1" x14ac:dyDescent="0.4">
      <c r="B2" s="7" t="s">
        <v>0</v>
      </c>
      <c r="C2" s="18" t="s">
        <v>3009</v>
      </c>
    </row>
    <row r="3" spans="2:30" ht="15.5" thickTop="1" thickBot="1" x14ac:dyDescent="0.4">
      <c r="B3" s="37" t="s">
        <v>6</v>
      </c>
      <c r="C3" s="20" t="s">
        <v>2900</v>
      </c>
    </row>
    <row r="4" spans="2:30" ht="15.5" thickTop="1" thickBot="1" x14ac:dyDescent="0.4">
      <c r="B4" s="37" t="s">
        <v>12</v>
      </c>
      <c r="C4" s="19" t="s">
        <v>2903</v>
      </c>
    </row>
    <row r="5" spans="2:30" ht="15.5" thickTop="1" thickBot="1" x14ac:dyDescent="0.4">
      <c r="B5" s="28" t="s">
        <v>22</v>
      </c>
      <c r="C5" s="26">
        <v>0</v>
      </c>
    </row>
    <row r="6" spans="2:30" ht="15" thickTop="1" x14ac:dyDescent="0.35"/>
  </sheetData>
  <pageMargins left="0.7" right="0.7" top="0.75" bottom="0.75" header="0.3" footer="0.3"/>
  <pageSetup paperSize="9" orientation="portrait" r:id="rId1"/>
  <headerFooter>
    <oddHeader>&amp;R&amp;"Calibri"&amp;10&amp;K000000Internal Use&amp;1#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mmandButton1_Click">
                <anchor>
                  <from>
                    <xdr:col>0</xdr:col>
                    <xdr:colOff>31750</xdr:colOff>
                    <xdr:row>2</xdr:row>
                    <xdr:rowOff>127000</xdr:rowOff>
                  </from>
                  <to>
                    <xdr:col>0</xdr:col>
                    <xdr:colOff>2603500</xdr:colOff>
                    <xdr:row>4</xdr:row>
                    <xdr:rowOff>146050</xdr:rowOff>
                  </to>
                </anchor>
              </controlPr>
            </control>
          </mc:Choice>
        </mc:AlternateContent>
        <mc:AlternateContent xmlns:mc="http://schemas.openxmlformats.org/markup-compatibility/2006">
          <mc:Choice Requires="x14">
            <control shapeId="2050" r:id="rId5" name="Button 2">
              <controlPr defaultSize="0" print="0" autoFill="0" autoPict="0" macro="[0]!Returntopreviousscreen">
                <anchor>
                  <from>
                    <xdr:col>0</xdr:col>
                    <xdr:colOff>38100</xdr:colOff>
                    <xdr:row>0</xdr:row>
                    <xdr:rowOff>57150</xdr:rowOff>
                  </from>
                  <to>
                    <xdr:col>0</xdr:col>
                    <xdr:colOff>2609850</xdr:colOff>
                    <xdr:row>2</xdr:row>
                    <xdr:rowOff>69850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9F521-D2A5-4A40-B273-299599E4C895}">
  <sheetPr codeName="Sheet8"/>
  <dimension ref="B1:H58"/>
  <sheetViews>
    <sheetView workbookViewId="0">
      <selection activeCell="G1" sqref="G1:H1048576"/>
    </sheetView>
  </sheetViews>
  <sheetFormatPr defaultColWidth="9.1796875" defaultRowHeight="14.5" x14ac:dyDescent="0.35"/>
  <cols>
    <col min="1" max="1" width="9.1796875" style="1"/>
    <col min="2" max="2" width="38.54296875" style="1" bestFit="1" customWidth="1"/>
    <col min="3" max="3" width="33.54296875" style="1" bestFit="1" customWidth="1"/>
    <col min="4" max="6" width="9.1796875" style="1"/>
    <col min="7" max="7" width="38.54296875" style="1" bestFit="1" customWidth="1"/>
    <col min="8" max="8" width="41.54296875" style="1" customWidth="1"/>
    <col min="9" max="16384" width="9.1796875" style="1"/>
  </cols>
  <sheetData>
    <row r="1" spans="2:8" ht="15" thickBot="1" x14ac:dyDescent="0.4">
      <c r="E1" s="1">
        <v>0</v>
      </c>
    </row>
    <row r="2" spans="2:8" ht="15.5" thickTop="1" thickBot="1" x14ac:dyDescent="0.4">
      <c r="B2" s="7" t="s">
        <v>0</v>
      </c>
      <c r="C2" s="18" t="str">
        <f>'Request for approval'!D4</f>
        <v>Christophe Frankel</v>
      </c>
      <c r="G2" s="7" t="s">
        <v>0</v>
      </c>
      <c r="H2" s="18" t="s">
        <v>3009</v>
      </c>
    </row>
    <row r="3" spans="2:8" ht="15.5" thickTop="1" thickBot="1" x14ac:dyDescent="0.4">
      <c r="B3" s="37" t="s">
        <v>1</v>
      </c>
      <c r="C3" s="44">
        <f>'Request for approval'!D6</f>
        <v>0</v>
      </c>
      <c r="E3" s="1" t="b">
        <f>E1=C23</f>
        <v>1</v>
      </c>
      <c r="G3" s="37" t="s">
        <v>1</v>
      </c>
      <c r="H3" s="44">
        <v>0</v>
      </c>
    </row>
    <row r="4" spans="2:8" ht="15.5" thickTop="1" thickBot="1" x14ac:dyDescent="0.4">
      <c r="B4" s="37" t="s">
        <v>3</v>
      </c>
      <c r="C4" s="19">
        <f>IF('Request for approval'!D8='RFA Backend'!D1,'RFA Backend'!E1,'Request for approval'!D8)</f>
        <v>0</v>
      </c>
      <c r="E4" s="1" t="s">
        <v>2991</v>
      </c>
      <c r="G4" s="37" t="s">
        <v>3</v>
      </c>
      <c r="H4" s="19">
        <v>0</v>
      </c>
    </row>
    <row r="5" spans="2:8" ht="15.5" thickTop="1" thickBot="1" x14ac:dyDescent="0.4">
      <c r="B5" s="37" t="s">
        <v>3</v>
      </c>
      <c r="C5" s="45">
        <f>'Request for approval'!D10</f>
        <v>0</v>
      </c>
      <c r="G5" s="37" t="s">
        <v>3</v>
      </c>
      <c r="H5" s="45">
        <v>0</v>
      </c>
    </row>
    <row r="6" spans="2:8" ht="15.5" thickTop="1" thickBot="1" x14ac:dyDescent="0.4">
      <c r="B6" s="37" t="s">
        <v>4</v>
      </c>
      <c r="C6" s="44">
        <f>'Request for approval'!D12</f>
        <v>0</v>
      </c>
      <c r="G6" s="37" t="s">
        <v>4</v>
      </c>
      <c r="H6" s="44">
        <v>0</v>
      </c>
    </row>
    <row r="7" spans="2:8" ht="15.5" thickTop="1" thickBot="1" x14ac:dyDescent="0.4">
      <c r="B7" s="37" t="s">
        <v>5</v>
      </c>
      <c r="C7" s="20">
        <f>'Request for approval'!D14</f>
        <v>0</v>
      </c>
      <c r="G7" s="37" t="s">
        <v>5</v>
      </c>
      <c r="H7" s="20">
        <v>0</v>
      </c>
    </row>
    <row r="8" spans="2:8" ht="15.5" thickTop="1" thickBot="1" x14ac:dyDescent="0.4">
      <c r="B8" s="37" t="s">
        <v>6</v>
      </c>
      <c r="C8" s="20" t="str">
        <f>'Request for approval'!D16</f>
        <v>XX/XX/XX to XX/XX/XX</v>
      </c>
      <c r="G8" s="37" t="s">
        <v>6</v>
      </c>
      <c r="H8" s="20" t="s">
        <v>2900</v>
      </c>
    </row>
    <row r="9" spans="2:8" ht="15.5" thickTop="1" thickBot="1" x14ac:dyDescent="0.4">
      <c r="B9" s="37" t="s">
        <v>7</v>
      </c>
      <c r="C9" s="21">
        <f>'Request for approval'!D18</f>
        <v>0</v>
      </c>
      <c r="G9" s="37" t="s">
        <v>7</v>
      </c>
      <c r="H9" s="21">
        <v>0</v>
      </c>
    </row>
    <row r="10" spans="2:8" ht="15.5" thickTop="1" thickBot="1" x14ac:dyDescent="0.4">
      <c r="B10" s="37" t="s">
        <v>8</v>
      </c>
      <c r="C10" s="22">
        <f>'Request for approval'!D20</f>
        <v>0</v>
      </c>
      <c r="G10" s="37" t="s">
        <v>8</v>
      </c>
      <c r="H10" s="22">
        <v>0</v>
      </c>
    </row>
    <row r="11" spans="2:8" ht="15.5" thickTop="1" thickBot="1" x14ac:dyDescent="0.4">
      <c r="B11" s="37" t="s">
        <v>9</v>
      </c>
      <c r="C11" s="18">
        <f>'Request for approval'!D22</f>
        <v>0</v>
      </c>
      <c r="G11" s="37" t="s">
        <v>9</v>
      </c>
      <c r="H11" s="18">
        <v>0</v>
      </c>
    </row>
    <row r="12" spans="2:8" ht="15.5" thickTop="1" thickBot="1" x14ac:dyDescent="0.4">
      <c r="B12" s="37" t="s">
        <v>10</v>
      </c>
      <c r="C12" s="21">
        <f>'Request for approval'!D24</f>
        <v>0</v>
      </c>
      <c r="G12" s="37" t="s">
        <v>10</v>
      </c>
      <c r="H12" s="21">
        <v>0</v>
      </c>
    </row>
    <row r="13" spans="2:8" ht="15.5" thickTop="1" thickBot="1" x14ac:dyDescent="0.4">
      <c r="B13" s="37" t="s">
        <v>11</v>
      </c>
      <c r="C13" s="19">
        <f>'Request for approval'!D26</f>
        <v>0</v>
      </c>
      <c r="G13" s="37" t="s">
        <v>11</v>
      </c>
      <c r="H13" s="19">
        <v>0</v>
      </c>
    </row>
    <row r="14" spans="2:8" ht="15.5" thickTop="1" thickBot="1" x14ac:dyDescent="0.4">
      <c r="B14" s="37" t="s">
        <v>12</v>
      </c>
      <c r="C14" s="19" t="str">
        <f>'Request for approval'!D28</f>
        <v>Deviated procedure</v>
      </c>
      <c r="G14" s="37" t="s">
        <v>12</v>
      </c>
      <c r="H14" s="19" t="s">
        <v>2903</v>
      </c>
    </row>
    <row r="15" spans="2:8" ht="15.5" thickTop="1" thickBot="1" x14ac:dyDescent="0.4">
      <c r="B15" s="37" t="s">
        <v>13</v>
      </c>
      <c r="C15" s="18">
        <f>'Request for approval'!D30</f>
        <v>0</v>
      </c>
      <c r="G15" s="37" t="s">
        <v>13</v>
      </c>
      <c r="H15" s="18">
        <v>0</v>
      </c>
    </row>
    <row r="16" spans="2:8" ht="15.5" thickTop="1" thickBot="1" x14ac:dyDescent="0.4">
      <c r="B16" s="37" t="s">
        <v>14</v>
      </c>
      <c r="C16" s="18">
        <f>'Request for approval'!D32</f>
        <v>0</v>
      </c>
      <c r="G16" s="37" t="s">
        <v>14</v>
      </c>
      <c r="H16" s="23">
        <v>0</v>
      </c>
    </row>
    <row r="17" spans="2:8" ht="15.5" thickTop="1" thickBot="1" x14ac:dyDescent="0.4">
      <c r="B17" s="37" t="s">
        <v>2990</v>
      </c>
      <c r="C17" s="18">
        <f>IF(C18=E1,0,E4)</f>
        <v>0</v>
      </c>
      <c r="G17" s="79" t="s">
        <v>2990</v>
      </c>
      <c r="H17" s="79">
        <v>0</v>
      </c>
    </row>
    <row r="18" spans="2:8" ht="15.5" thickTop="1" thickBot="1" x14ac:dyDescent="0.4">
      <c r="B18" s="46">
        <f ca="1">'Request for approval'!B36</f>
        <v>2024</v>
      </c>
      <c r="C18" s="22">
        <f>'Request for approval'!D36</f>
        <v>0</v>
      </c>
      <c r="G18" s="46">
        <v>2024</v>
      </c>
      <c r="H18" s="22">
        <v>0</v>
      </c>
    </row>
    <row r="19" spans="2:8" ht="15.5" thickTop="1" thickBot="1" x14ac:dyDescent="0.4">
      <c r="B19" s="46">
        <f ca="1">'Request for approval'!B37</f>
        <v>2025</v>
      </c>
      <c r="C19" s="22">
        <f>'Request for approval'!D37</f>
        <v>0</v>
      </c>
      <c r="G19" s="46">
        <v>2025</v>
      </c>
      <c r="H19" s="22">
        <v>0</v>
      </c>
    </row>
    <row r="20" spans="2:8" ht="15.5" thickTop="1" thickBot="1" x14ac:dyDescent="0.4">
      <c r="B20" s="46">
        <f ca="1">'Request for approval'!B38</f>
        <v>2026</v>
      </c>
      <c r="C20" s="22">
        <f>'Request for approval'!D38</f>
        <v>0</v>
      </c>
      <c r="G20" s="46">
        <v>2026</v>
      </c>
      <c r="H20" s="22">
        <v>0</v>
      </c>
    </row>
    <row r="21" spans="2:8" ht="15.5" thickTop="1" thickBot="1" x14ac:dyDescent="0.4">
      <c r="B21" s="46">
        <f ca="1">'Request for approval'!B39</f>
        <v>2027</v>
      </c>
      <c r="C21" s="22">
        <f>'Request for approval'!D39</f>
        <v>0</v>
      </c>
      <c r="G21" s="46">
        <v>2027</v>
      </c>
      <c r="H21" s="22">
        <v>0</v>
      </c>
    </row>
    <row r="22" spans="2:8" ht="15.5" thickTop="1" thickBot="1" x14ac:dyDescent="0.4">
      <c r="B22" s="46">
        <f ca="1">'Request for approval'!B40</f>
        <v>2028</v>
      </c>
      <c r="C22" s="22">
        <f>'Request for approval'!D40</f>
        <v>0</v>
      </c>
      <c r="G22" s="46">
        <v>2028</v>
      </c>
      <c r="H22" s="22">
        <v>0</v>
      </c>
    </row>
    <row r="23" spans="2:8" ht="15.5" thickTop="1" thickBot="1" x14ac:dyDescent="0.4">
      <c r="B23" s="46">
        <f ca="1">'Request for approval'!B41</f>
        <v>2029</v>
      </c>
      <c r="C23" s="22">
        <f>'Request for approval'!D41</f>
        <v>0</v>
      </c>
      <c r="G23" s="46">
        <v>2029</v>
      </c>
      <c r="H23" s="22">
        <v>0</v>
      </c>
    </row>
    <row r="24" spans="2:8" ht="15.5" thickTop="1" thickBot="1" x14ac:dyDescent="0.4">
      <c r="B24" s="46">
        <f ca="1">'Request for approval'!B42</f>
        <v>2030</v>
      </c>
      <c r="C24" s="22">
        <f>'Request for approval'!D42</f>
        <v>0</v>
      </c>
      <c r="G24" s="46">
        <v>2030</v>
      </c>
      <c r="H24" s="22">
        <v>0</v>
      </c>
    </row>
    <row r="25" spans="2:8" ht="15.5" thickTop="1" thickBot="1" x14ac:dyDescent="0.4">
      <c r="B25" s="46">
        <f ca="1">'Request for approval'!B43</f>
        <v>2031</v>
      </c>
      <c r="C25" s="22">
        <f>'Request for approval'!D43</f>
        <v>0</v>
      </c>
      <c r="G25" s="46">
        <v>2031</v>
      </c>
      <c r="H25" s="22">
        <v>0</v>
      </c>
    </row>
    <row r="26" spans="2:8" ht="15.5" thickTop="1" thickBot="1" x14ac:dyDescent="0.4">
      <c r="B26" s="46">
        <f ca="1">'Request for approval'!B44</f>
        <v>2032</v>
      </c>
      <c r="C26" s="22">
        <f>'Request for approval'!D44</f>
        <v>0</v>
      </c>
      <c r="G26" s="46">
        <v>2032</v>
      </c>
      <c r="H26" s="22">
        <v>0</v>
      </c>
    </row>
    <row r="27" spans="2:8" ht="15.5" thickTop="1" thickBot="1" x14ac:dyDescent="0.4">
      <c r="B27" s="46">
        <f ca="1">'Request for approval'!B45</f>
        <v>2033</v>
      </c>
      <c r="C27" s="22">
        <f>'Request for approval'!D45</f>
        <v>0</v>
      </c>
      <c r="G27" s="46">
        <v>2033</v>
      </c>
      <c r="H27" s="22">
        <v>0</v>
      </c>
    </row>
    <row r="28" spans="2:8" ht="15.5" thickTop="1" thickBot="1" x14ac:dyDescent="0.4">
      <c r="B28" s="46">
        <f ca="1">'Request for approval'!B46</f>
        <v>2034</v>
      </c>
      <c r="C28" s="22">
        <f>'Request for approval'!D46</f>
        <v>0</v>
      </c>
      <c r="G28" s="46">
        <v>2034</v>
      </c>
      <c r="H28" s="22">
        <v>0</v>
      </c>
    </row>
    <row r="29" spans="2:8" ht="15.5" thickTop="1" thickBot="1" x14ac:dyDescent="0.4">
      <c r="B29" s="7" t="s">
        <v>15</v>
      </c>
      <c r="C29" s="24">
        <f>'Request for approval'!D48</f>
        <v>0</v>
      </c>
      <c r="G29" s="7" t="s">
        <v>15</v>
      </c>
      <c r="H29" s="24">
        <v>0</v>
      </c>
    </row>
    <row r="30" spans="2:8" ht="15.5" thickTop="1" thickBot="1" x14ac:dyDescent="0.4">
      <c r="B30" s="7" t="s">
        <v>16</v>
      </c>
      <c r="C30" s="21">
        <f>'Request for approval'!D50</f>
        <v>0</v>
      </c>
      <c r="G30" s="7" t="s">
        <v>16</v>
      </c>
      <c r="H30" s="21">
        <v>0</v>
      </c>
    </row>
    <row r="31" spans="2:8" ht="15.75" customHeight="1" thickTop="1" thickBot="1" x14ac:dyDescent="0.4">
      <c r="B31" s="106" t="s">
        <v>17</v>
      </c>
      <c r="C31" s="23">
        <f>'Request for approval'!D52</f>
        <v>0</v>
      </c>
      <c r="G31" s="106" t="s">
        <v>17</v>
      </c>
      <c r="H31" s="23">
        <v>0</v>
      </c>
    </row>
    <row r="32" spans="2:8" ht="15" customHeight="1" thickTop="1" thickBot="1" x14ac:dyDescent="0.4">
      <c r="B32" s="107"/>
      <c r="C32" s="23">
        <f>'Request for approval'!D53</f>
        <v>0</v>
      </c>
      <c r="G32" s="107"/>
      <c r="H32" s="23">
        <v>0</v>
      </c>
    </row>
    <row r="33" spans="2:8" ht="15" customHeight="1" thickTop="1" thickBot="1" x14ac:dyDescent="0.4">
      <c r="B33" s="107"/>
      <c r="C33" s="23">
        <f>'Request for approval'!D54</f>
        <v>0</v>
      </c>
      <c r="G33" s="107"/>
      <c r="H33" s="23">
        <v>0</v>
      </c>
    </row>
    <row r="34" spans="2:8" ht="15" customHeight="1" thickTop="1" thickBot="1" x14ac:dyDescent="0.4">
      <c r="B34" s="107"/>
      <c r="C34" s="23">
        <f>'Request for approval'!D55</f>
        <v>0</v>
      </c>
      <c r="G34" s="107"/>
      <c r="H34" s="23">
        <v>0</v>
      </c>
    </row>
    <row r="35" spans="2:8" ht="15.75" customHeight="1" thickTop="1" thickBot="1" x14ac:dyDescent="0.4">
      <c r="B35" s="108"/>
      <c r="C35" s="23">
        <f>'Request for approval'!D56</f>
        <v>0</v>
      </c>
      <c r="G35" s="108"/>
      <c r="H35" s="23">
        <v>0</v>
      </c>
    </row>
    <row r="36" spans="2:8" ht="15.5" thickTop="1" thickBot="1" x14ac:dyDescent="0.4">
      <c r="B36" s="28" t="s">
        <v>18</v>
      </c>
      <c r="C36" s="43">
        <f>'Request for approval'!D58</f>
        <v>0</v>
      </c>
      <c r="G36" s="28" t="s">
        <v>18</v>
      </c>
      <c r="H36" s="43">
        <v>0</v>
      </c>
    </row>
    <row r="37" spans="2:8" ht="15.5" thickTop="1" thickBot="1" x14ac:dyDescent="0.4">
      <c r="B37" s="28" t="s">
        <v>19</v>
      </c>
      <c r="C37" s="23">
        <f>'Request for approval'!D60</f>
        <v>0</v>
      </c>
      <c r="G37" s="28" t="s">
        <v>19</v>
      </c>
      <c r="H37" s="23">
        <v>0</v>
      </c>
    </row>
    <row r="38" spans="2:8" ht="15.5" thickTop="1" thickBot="1" x14ac:dyDescent="0.4">
      <c r="B38" s="28" t="s">
        <v>20</v>
      </c>
      <c r="C38" s="25">
        <f>'Request for approval'!D62</f>
        <v>0</v>
      </c>
      <c r="G38" s="28" t="s">
        <v>20</v>
      </c>
      <c r="H38" s="25">
        <v>0</v>
      </c>
    </row>
    <row r="39" spans="2:8" ht="15.5" thickTop="1" thickBot="1" x14ac:dyDescent="0.4">
      <c r="B39" s="28" t="s">
        <v>21</v>
      </c>
      <c r="C39" s="19">
        <f>'Request for approval'!D64</f>
        <v>0</v>
      </c>
      <c r="G39" s="28" t="s">
        <v>21</v>
      </c>
      <c r="H39" s="19">
        <v>0</v>
      </c>
    </row>
    <row r="40" spans="2:8" ht="15.5" thickTop="1" thickBot="1" x14ac:dyDescent="0.4">
      <c r="B40" s="28" t="s">
        <v>22</v>
      </c>
      <c r="C40" s="26">
        <f>'Request for approval'!D66</f>
        <v>0</v>
      </c>
      <c r="G40" s="28" t="s">
        <v>22</v>
      </c>
      <c r="H40" s="26">
        <v>0</v>
      </c>
    </row>
    <row r="41" spans="2:8" ht="15.5" thickTop="1" thickBot="1" x14ac:dyDescent="0.4">
      <c r="B41" s="28" t="s">
        <v>23</v>
      </c>
      <c r="C41" s="22">
        <f>'Request for approval'!D68</f>
        <v>0</v>
      </c>
      <c r="G41" s="28" t="s">
        <v>23</v>
      </c>
      <c r="H41" s="22">
        <v>0</v>
      </c>
    </row>
    <row r="42" spans="2:8" ht="15.5" thickTop="1" thickBot="1" x14ac:dyDescent="0.4">
      <c r="B42" s="28" t="s">
        <v>24</v>
      </c>
      <c r="C42" s="22">
        <f>'Request for approval'!D70</f>
        <v>0</v>
      </c>
      <c r="G42" s="28" t="s">
        <v>24</v>
      </c>
      <c r="H42" s="22">
        <v>0</v>
      </c>
    </row>
    <row r="43" spans="2:8" ht="15.5" thickTop="1" thickBot="1" x14ac:dyDescent="0.4">
      <c r="B43" s="28" t="s">
        <v>2992</v>
      </c>
      <c r="C43" s="22">
        <f>'Request for approval'!D72</f>
        <v>0</v>
      </c>
      <c r="G43" s="28" t="s">
        <v>2992</v>
      </c>
      <c r="H43" s="22">
        <v>0</v>
      </c>
    </row>
    <row r="44" spans="2:8" ht="15.5" thickTop="1" thickBot="1" x14ac:dyDescent="0.4">
      <c r="B44" s="28" t="s">
        <v>3274</v>
      </c>
      <c r="C44" s="22">
        <f>'Request for approval'!D74</f>
        <v>0</v>
      </c>
      <c r="G44" s="28" t="s">
        <v>3274</v>
      </c>
      <c r="H44" s="22">
        <v>0</v>
      </c>
    </row>
    <row r="45" spans="2:8" ht="15.5" thickTop="1" thickBot="1" x14ac:dyDescent="0.4">
      <c r="B45" s="28" t="s">
        <v>2993</v>
      </c>
      <c r="C45" s="22">
        <f>'Request for approval'!D76</f>
        <v>0</v>
      </c>
      <c r="G45" s="28" t="s">
        <v>2993</v>
      </c>
      <c r="H45" s="22">
        <v>0</v>
      </c>
    </row>
    <row r="46" spans="2:8" ht="15.5" thickTop="1" thickBot="1" x14ac:dyDescent="0.4">
      <c r="B46" s="28" t="s">
        <v>2982</v>
      </c>
      <c r="C46" s="43">
        <f>IF('Request for approval'!D78='RFA Backend'!$D$1,'RFA Backend'!E1,'Request for approval'!D78)</f>
        <v>0</v>
      </c>
      <c r="G46" s="28" t="s">
        <v>2982</v>
      </c>
      <c r="H46" s="22">
        <v>0</v>
      </c>
    </row>
    <row r="47" spans="2:8" ht="15.5" thickTop="1" thickBot="1" x14ac:dyDescent="0.4">
      <c r="B47" s="28" t="s">
        <v>2994</v>
      </c>
      <c r="C47" s="22">
        <f>'Request for approval'!D80</f>
        <v>0</v>
      </c>
      <c r="G47" s="28" t="s">
        <v>2994</v>
      </c>
      <c r="H47" s="22">
        <v>0</v>
      </c>
    </row>
    <row r="48" spans="2:8" ht="15.5" thickTop="1" thickBot="1" x14ac:dyDescent="0.4">
      <c r="B48" s="28" t="s">
        <v>2995</v>
      </c>
      <c r="C48" s="22">
        <f>'Request for approval'!D82</f>
        <v>0</v>
      </c>
      <c r="G48" s="28" t="s">
        <v>2995</v>
      </c>
      <c r="H48" s="22">
        <v>0</v>
      </c>
    </row>
    <row r="49" spans="2:8" ht="15.5" thickTop="1" thickBot="1" x14ac:dyDescent="0.4">
      <c r="B49" s="28" t="s">
        <v>2996</v>
      </c>
      <c r="C49" s="22">
        <f>'Request for approval'!D84</f>
        <v>0</v>
      </c>
      <c r="G49" s="28" t="s">
        <v>2996</v>
      </c>
      <c r="H49" s="22">
        <v>0</v>
      </c>
    </row>
    <row r="50" spans="2:8" ht="15.5" thickTop="1" thickBot="1" x14ac:dyDescent="0.4">
      <c r="B50" s="28" t="s">
        <v>25</v>
      </c>
      <c r="C50" s="19">
        <f>'Request for approval'!D86</f>
        <v>0</v>
      </c>
      <c r="G50" s="28" t="s">
        <v>25</v>
      </c>
      <c r="H50" s="19">
        <v>0</v>
      </c>
    </row>
    <row r="51" spans="2:8" ht="15.5" thickTop="1" thickBot="1" x14ac:dyDescent="0.4">
      <c r="B51" s="28" t="s">
        <v>26</v>
      </c>
      <c r="C51" s="19">
        <f>'Request for approval'!D88</f>
        <v>0</v>
      </c>
      <c r="G51" s="28" t="s">
        <v>26</v>
      </c>
      <c r="H51" s="19">
        <v>0</v>
      </c>
    </row>
    <row r="52" spans="2:8" ht="15.5" thickTop="1" thickBot="1" x14ac:dyDescent="0.4">
      <c r="B52" s="28" t="s">
        <v>27</v>
      </c>
      <c r="C52" s="35">
        <f>'Request for approval'!D90</f>
        <v>0</v>
      </c>
      <c r="G52" s="28" t="s">
        <v>27</v>
      </c>
      <c r="H52" s="35">
        <v>0</v>
      </c>
    </row>
    <row r="53" spans="2:8" ht="15.5" thickTop="1" thickBot="1" x14ac:dyDescent="0.4">
      <c r="B53" s="28" t="s">
        <v>28</v>
      </c>
      <c r="C53" s="36">
        <f>'Request for approval'!D92</f>
        <v>0</v>
      </c>
      <c r="G53" s="28" t="s">
        <v>28</v>
      </c>
      <c r="H53" s="36">
        <v>0</v>
      </c>
    </row>
    <row r="54" spans="2:8" ht="15.5" thickTop="1" thickBot="1" x14ac:dyDescent="0.4">
      <c r="B54" s="28" t="s">
        <v>30</v>
      </c>
      <c r="C54" s="27">
        <f>'Request for approval'!D94</f>
        <v>0</v>
      </c>
      <c r="G54" s="28" t="s">
        <v>30</v>
      </c>
      <c r="H54" s="27">
        <v>0</v>
      </c>
    </row>
    <row r="55" spans="2:8" ht="15.5" thickTop="1" thickBot="1" x14ac:dyDescent="0.4">
      <c r="B55" s="28" t="s">
        <v>31</v>
      </c>
      <c r="C55" s="27">
        <f>'Request for approval'!D96</f>
        <v>0</v>
      </c>
      <c r="G55" s="28" t="s">
        <v>31</v>
      </c>
      <c r="H55" s="27">
        <v>0</v>
      </c>
    </row>
    <row r="56" spans="2:8" ht="15.5" thickTop="1" thickBot="1" x14ac:dyDescent="0.4">
      <c r="B56" s="28" t="s">
        <v>2989</v>
      </c>
      <c r="C56" s="27">
        <f>'Request for approval'!D98</f>
        <v>0</v>
      </c>
      <c r="G56" s="28" t="s">
        <v>2989</v>
      </c>
      <c r="H56" s="27">
        <v>0</v>
      </c>
    </row>
    <row r="57" spans="2:8" ht="15.5" thickTop="1" thickBot="1" x14ac:dyDescent="0.4">
      <c r="B57" s="28" t="s">
        <v>2988</v>
      </c>
      <c r="C57" s="27">
        <f>'Request for approval'!D100</f>
        <v>0</v>
      </c>
      <c r="G57" s="28" t="s">
        <v>2988</v>
      </c>
      <c r="H57" s="27">
        <v>0</v>
      </c>
    </row>
    <row r="58" spans="2:8" ht="15" thickTop="1" x14ac:dyDescent="0.35"/>
  </sheetData>
  <mergeCells count="2">
    <mergeCell ref="B31:B35"/>
    <mergeCell ref="G31:G3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43E60-2307-4B8A-806E-DB6F2B407982}">
  <sheetPr codeName="Sheet3"/>
  <dimension ref="A1:BH231"/>
  <sheetViews>
    <sheetView topLeftCell="AW1" zoomScaleNormal="100" workbookViewId="0">
      <selection activeCell="K12" sqref="K12"/>
    </sheetView>
  </sheetViews>
  <sheetFormatPr defaultRowHeight="14.5" x14ac:dyDescent="0.35"/>
  <cols>
    <col min="1" max="1" width="34" bestFit="1" customWidth="1"/>
    <col min="2" max="2" width="35.1796875" bestFit="1" customWidth="1"/>
    <col min="3" max="6" width="35.1796875" customWidth="1"/>
    <col min="8" max="9" width="12.81640625" bestFit="1" customWidth="1"/>
    <col min="24" max="24" width="67.1796875" bestFit="1" customWidth="1"/>
    <col min="25" max="25" width="15.7265625" bestFit="1" customWidth="1"/>
    <col min="26" max="26" width="28.7265625" bestFit="1" customWidth="1"/>
    <col min="27" max="27" width="8.54296875" bestFit="1" customWidth="1"/>
    <col min="28" max="28" width="28.7265625" bestFit="1" customWidth="1"/>
    <col min="29" max="29" width="29.1796875" bestFit="1" customWidth="1"/>
    <col min="30" max="30" width="16.453125" bestFit="1" customWidth="1"/>
    <col min="31" max="31" width="44.54296875" bestFit="1" customWidth="1"/>
    <col min="32" max="32" width="27" bestFit="1" customWidth="1"/>
    <col min="33" max="33" width="26.54296875" bestFit="1" customWidth="1"/>
    <col min="37" max="37" width="12.26953125" bestFit="1" customWidth="1"/>
    <col min="39" max="39" width="19.26953125" bestFit="1" customWidth="1"/>
    <col min="40" max="40" width="46.54296875" bestFit="1" customWidth="1"/>
    <col min="41" max="41" width="25.1796875" bestFit="1" customWidth="1"/>
    <col min="44" max="44" width="15.26953125" bestFit="1" customWidth="1"/>
    <col min="46" max="46" width="10.7265625" bestFit="1" customWidth="1"/>
    <col min="48" max="48" width="37.7265625" bestFit="1" customWidth="1"/>
    <col min="49" max="49" width="29.7265625" bestFit="1" customWidth="1"/>
    <col min="50" max="50" width="33.1796875" bestFit="1" customWidth="1"/>
    <col min="51" max="51" width="103.26953125" bestFit="1" customWidth="1"/>
    <col min="52" max="52" width="29.453125" bestFit="1" customWidth="1"/>
    <col min="53" max="53" width="24.54296875" bestFit="1" customWidth="1"/>
    <col min="54" max="54" width="44.453125" bestFit="1" customWidth="1"/>
    <col min="55" max="55" width="51.1796875" bestFit="1" customWidth="1"/>
    <col min="56" max="56" width="103.26953125" bestFit="1" customWidth="1"/>
    <col min="57" max="57" width="34" bestFit="1" customWidth="1"/>
    <col min="59" max="59" width="35.1796875" bestFit="1" customWidth="1"/>
  </cols>
  <sheetData>
    <row r="1" spans="1:60" x14ac:dyDescent="0.35">
      <c r="A1" t="s">
        <v>2837</v>
      </c>
      <c r="B1" t="s">
        <v>2838</v>
      </c>
      <c r="C1" t="s">
        <v>2839</v>
      </c>
      <c r="D1" t="s">
        <v>2840</v>
      </c>
      <c r="F1" t="s">
        <v>2841</v>
      </c>
      <c r="G1" t="s">
        <v>2842</v>
      </c>
      <c r="H1" t="s">
        <v>2843</v>
      </c>
      <c r="I1" t="s">
        <v>2844</v>
      </c>
      <c r="J1" t="s">
        <v>2845</v>
      </c>
      <c r="K1">
        <f>'Request for approval'!D90</f>
        <v>0</v>
      </c>
      <c r="X1">
        <f>'Request for approval'!D6</f>
        <v>0</v>
      </c>
      <c r="AC1" t="s">
        <v>2846</v>
      </c>
      <c r="AK1" t="s">
        <v>2847</v>
      </c>
      <c r="AL1" t="s">
        <v>2847</v>
      </c>
      <c r="AM1" t="s">
        <v>2848</v>
      </c>
      <c r="AN1" t="s">
        <v>2849</v>
      </c>
      <c r="AO1" t="s">
        <v>2850</v>
      </c>
      <c r="AQ1" t="s">
        <v>2847</v>
      </c>
      <c r="AR1" s="4" t="s">
        <v>2879</v>
      </c>
      <c r="AT1" s="29">
        <f ca="1">TODAY()</f>
        <v>45490</v>
      </c>
      <c r="AV1" t="s">
        <v>3007</v>
      </c>
      <c r="AW1" s="76" t="s">
        <v>3036</v>
      </c>
      <c r="AX1" t="s">
        <v>3270</v>
      </c>
      <c r="AY1" t="str">
        <f>IF('Request for approval'!$D$74='Data validation'!$AX$1, IF('Data validation'!BA1="", "", 'Data validation'!BA1),
IF('Request for approval'!$D$74='Data validation'!$AX$2, IF('Data validation'!BB1="", "", 'Data validation'!BB1),
IF('Request for approval'!$D$74='Data validation'!$AX$3, IF('Data validation'!BC1="", "", 'Data validation'!BC1),
IF('Request for approval'!$D$74='Data validation'!$AX$4, IF('Data validation'!BD1="", "", 'Data validation'!BD1),
""))))</f>
        <v/>
      </c>
      <c r="AZ1" t="s">
        <v>3270</v>
      </c>
      <c r="BA1" s="76" t="s">
        <v>3275</v>
      </c>
      <c r="BB1" s="76" t="s">
        <v>3276</v>
      </c>
      <c r="BC1" s="76" t="s">
        <v>3277</v>
      </c>
      <c r="BD1" s="76" t="s">
        <v>3278</v>
      </c>
      <c r="BE1" t="s">
        <v>2869</v>
      </c>
      <c r="BF1">
        <f>IF('Request for approval'!D28='Data validation'!BE1,1,IF('Request for approval'!D28='Data validation'!BE2,1,IF('Request for approval'!D28='Data validation'!BE3,1,IF('Request for approval'!D28='Data validation'!BE4,1,0))))</f>
        <v>0</v>
      </c>
      <c r="BG1" t="s">
        <v>2941</v>
      </c>
      <c r="BH1">
        <f>IF('Request for approval'!D28='Data validation'!$BG$1,1,0)</f>
        <v>0</v>
      </c>
    </row>
    <row r="2" spans="1:60" ht="15" thickBot="1" x14ac:dyDescent="0.4">
      <c r="A2" t="s">
        <v>2851</v>
      </c>
      <c r="B2" t="s">
        <v>2852</v>
      </c>
      <c r="C2" s="3" t="s">
        <v>2853</v>
      </c>
      <c r="D2" t="s">
        <v>2854</v>
      </c>
      <c r="E2" t="s">
        <v>29</v>
      </c>
      <c r="F2" s="8" t="s">
        <v>2855</v>
      </c>
      <c r="AC2" t="e">
        <f>LEFT('Request for approval'!D6,FIND(";",'Request for approval'!D6)-1)</f>
        <v>#VALUE!</v>
      </c>
      <c r="AK2" t="s">
        <v>2856</v>
      </c>
      <c r="AM2" t="s">
        <v>2857</v>
      </c>
      <c r="AN2" t="s">
        <v>2858</v>
      </c>
      <c r="AO2" t="s">
        <v>2859</v>
      </c>
      <c r="AR2" s="5" t="s">
        <v>2887</v>
      </c>
      <c r="AT2">
        <f ca="1">YEAR(AT1)</f>
        <v>2024</v>
      </c>
      <c r="AV2" t="s">
        <v>3008</v>
      </c>
      <c r="AW2" s="77" t="s">
        <v>3037</v>
      </c>
      <c r="AX2" t="s">
        <v>3271</v>
      </c>
      <c r="AY2" t="str">
        <f>IF('Request for approval'!$D$74='Data validation'!$AX$1, IF('Data validation'!BA2="", "", 'Data validation'!BA2),
IF('Request for approval'!$D$74='Data validation'!$AX$2, IF('Data validation'!BB2="", "", 'Data validation'!BB2),
IF('Request for approval'!$D$74='Data validation'!$AX$3, IF('Data validation'!BC2="", "", 'Data validation'!BC2),
IF('Request for approval'!$D$74='Data validation'!$AX$4, IF('Data validation'!BD2="", "", 'Data validation'!BD2),
""))))</f>
        <v/>
      </c>
      <c r="AZ2" t="s">
        <v>3271</v>
      </c>
      <c r="BA2" s="76" t="s">
        <v>3279</v>
      </c>
      <c r="BB2" s="76" t="s">
        <v>3280</v>
      </c>
      <c r="BC2" s="76" t="s">
        <v>3281</v>
      </c>
      <c r="BD2" s="76" t="s">
        <v>3282</v>
      </c>
      <c r="BE2" t="s">
        <v>2877</v>
      </c>
    </row>
    <row r="3" spans="1:60" ht="15" thickBot="1" x14ac:dyDescent="0.4">
      <c r="A3" t="s">
        <v>2860</v>
      </c>
      <c r="B3" t="s">
        <v>2861</v>
      </c>
      <c r="C3" s="4" t="s">
        <v>2871</v>
      </c>
      <c r="D3" t="s">
        <v>2862</v>
      </c>
      <c r="E3" t="s">
        <v>2863</v>
      </c>
      <c r="F3" s="9" t="s">
        <v>2864</v>
      </c>
      <c r="H3" s="2"/>
      <c r="AC3" t="e">
        <f>MID('Request for approval'!D6,FIND(";",'Request for approval'!D6)+1,FIND(";",'Request for approval'!D6,FIND(";",'Request for approval'!D6)+1)-1-FIND(";",'Request for approval'!D6))</f>
        <v>#VALUE!</v>
      </c>
      <c r="AK3" t="s">
        <v>2865</v>
      </c>
      <c r="AM3" t="s">
        <v>2866</v>
      </c>
      <c r="AN3" t="s">
        <v>2867</v>
      </c>
      <c r="AO3" t="s">
        <v>2868</v>
      </c>
      <c r="AR3" s="6" t="s">
        <v>2917</v>
      </c>
      <c r="AT3">
        <f ca="1">AT2+1</f>
        <v>2025</v>
      </c>
      <c r="AV3" t="s">
        <v>3009</v>
      </c>
      <c r="AW3" s="77" t="s">
        <v>3038</v>
      </c>
      <c r="AX3" t="s">
        <v>3272</v>
      </c>
      <c r="AY3" t="str">
        <f>IF('Request for approval'!$D$74='Data validation'!$AX$1, IF('Data validation'!BA3="", "", 'Data validation'!BA3),
IF('Request for approval'!$D$74='Data validation'!$AX$2, IF('Data validation'!BB3="", "", 'Data validation'!BB3),
IF('Request for approval'!$D$74='Data validation'!$AX$3, IF('Data validation'!BC3="", "", 'Data validation'!BC3),
IF('Request for approval'!$D$74='Data validation'!$AX$4, IF('Data validation'!BD3="", "", 'Data validation'!BD3),
""))))</f>
        <v/>
      </c>
      <c r="AZ3" t="s">
        <v>3272</v>
      </c>
      <c r="BA3" s="76" t="s">
        <v>3283</v>
      </c>
      <c r="BB3" s="76" t="s">
        <v>3284</v>
      </c>
      <c r="BC3" s="76" t="s">
        <v>3285</v>
      </c>
      <c r="BD3" s="76" t="s">
        <v>3286</v>
      </c>
      <c r="BE3" t="s">
        <v>2885</v>
      </c>
    </row>
    <row r="4" spans="1:60" ht="15" thickBot="1" x14ac:dyDescent="0.4">
      <c r="A4" t="s">
        <v>2978</v>
      </c>
      <c r="B4" t="s">
        <v>2870</v>
      </c>
      <c r="C4" s="4" t="s">
        <v>2879</v>
      </c>
      <c r="D4" t="s">
        <v>2872</v>
      </c>
      <c r="F4" s="9" t="s">
        <v>2873</v>
      </c>
      <c r="Y4" cm="1">
        <f t="array" ref="Y4">TRANSPOSE(
    _xlfn.FILTERXML(
        "&lt;t&gt;&lt;s&gt;" &amp;
        SUBSTITUTE(
            X1,
            ";",
            "&lt;/s&gt;&lt;s&gt;"
        ) &amp; "&lt;/s&gt;&lt;/t&gt;",
        "//s"
    )
)</f>
        <v>0</v>
      </c>
      <c r="AC4" t="e">
        <f>RIGHT('Request for approval'!D6,LEN('Request for approval'!D6)-FIND(";",'Request for approval'!D6)- 1)</f>
        <v>#VALUE!</v>
      </c>
      <c r="AK4" t="s">
        <v>2874</v>
      </c>
      <c r="AM4" t="s">
        <v>2875</v>
      </c>
      <c r="AN4" t="s">
        <v>2977</v>
      </c>
      <c r="AO4" t="s">
        <v>2876</v>
      </c>
      <c r="AT4">
        <f t="shared" ref="AT4:AT18" ca="1" si="0">AT3+1</f>
        <v>2026</v>
      </c>
      <c r="AV4" t="s">
        <v>3009</v>
      </c>
      <c r="AW4" s="77" t="s">
        <v>3039</v>
      </c>
      <c r="AX4" t="s">
        <v>3273</v>
      </c>
      <c r="AY4" t="str">
        <f>IF('Request for approval'!$D$74='Data validation'!$AX$1, IF('Data validation'!BA4="", "", 'Data validation'!BA4),
IF('Request for approval'!$D$74='Data validation'!$AX$2, IF('Data validation'!BB4="", "", 'Data validation'!BB4),
IF('Request for approval'!$D$74='Data validation'!$AX$3, IF('Data validation'!BC4="", "", 'Data validation'!BC4),
IF('Request for approval'!$D$74='Data validation'!$AX$4, IF('Data validation'!BD4="", "", 'Data validation'!BD4),
""))))</f>
        <v/>
      </c>
      <c r="AZ4" t="s">
        <v>3273</v>
      </c>
      <c r="BA4" s="76" t="s">
        <v>3287</v>
      </c>
      <c r="BB4" s="76" t="s">
        <v>3288</v>
      </c>
      <c r="BC4" s="76" t="s">
        <v>3289</v>
      </c>
      <c r="BD4" s="76" t="s">
        <v>3290</v>
      </c>
      <c r="BE4" t="s">
        <v>2896</v>
      </c>
    </row>
    <row r="5" spans="1:60" ht="15" thickBot="1" x14ac:dyDescent="0.4">
      <c r="A5" t="s">
        <v>2869</v>
      </c>
      <c r="B5" t="s">
        <v>2878</v>
      </c>
      <c r="C5" s="5" t="s">
        <v>2887</v>
      </c>
      <c r="D5" t="s">
        <v>2880</v>
      </c>
      <c r="E5" t="s">
        <v>2881</v>
      </c>
      <c r="F5" s="9" t="s">
        <v>2882</v>
      </c>
      <c r="AC5" t="e">
        <f>MID('Request for approval'!D6,FIND(";",'Request for approval'!D6)+1,FIND(";",'Request for approval'!D6,FIND(";",'Request for approval'!D6,FIND(";",'Request for approval'!D6)+2)-2-FIND(";",'Request for approval'!D6)))</f>
        <v>#VALUE!</v>
      </c>
      <c r="AK5" t="s">
        <v>2883</v>
      </c>
      <c r="AM5" t="s">
        <v>2884</v>
      </c>
      <c r="AT5">
        <f t="shared" ca="1" si="0"/>
        <v>2027</v>
      </c>
      <c r="AV5" t="s">
        <v>3010</v>
      </c>
      <c r="AW5" s="77" t="s">
        <v>3040</v>
      </c>
      <c r="AX5" t="s">
        <v>2941</v>
      </c>
      <c r="AY5" t="str">
        <f>IF('Request for approval'!$D$74='Data validation'!$AX$1, IF('Data validation'!BA5="", "", 'Data validation'!BA5),
IF('Request for approval'!$D$74='Data validation'!$AX$2, IF('Data validation'!BB5="", "", 'Data validation'!BB5),
IF('Request for approval'!$D$74='Data validation'!$AX$3, IF('Data validation'!BC5="", "", 'Data validation'!BC5),
IF('Request for approval'!$D$74='Data validation'!$AX$4, IF('Data validation'!BD5="", "", 'Data validation'!BD5),
""))))</f>
        <v/>
      </c>
      <c r="BA5" s="76"/>
      <c r="BB5" s="76" t="s">
        <v>3291</v>
      </c>
      <c r="BC5" s="76" t="s">
        <v>3292</v>
      </c>
      <c r="BD5" s="76" t="s">
        <v>3293</v>
      </c>
    </row>
    <row r="6" spans="1:60" ht="15" thickBot="1" x14ac:dyDescent="0.4">
      <c r="A6" t="s">
        <v>2877</v>
      </c>
      <c r="B6" t="s">
        <v>2886</v>
      </c>
      <c r="C6" s="6" t="s">
        <v>3006</v>
      </c>
      <c r="D6" t="s">
        <v>2888</v>
      </c>
      <c r="E6" t="s">
        <v>2889</v>
      </c>
      <c r="F6" s="9" t="s">
        <v>2890</v>
      </c>
      <c r="Y6" t="s">
        <v>2891</v>
      </c>
      <c r="Z6" t="s">
        <v>2892</v>
      </c>
      <c r="AA6" t="s">
        <v>2893</v>
      </c>
      <c r="AB6" t="s">
        <v>2894</v>
      </c>
      <c r="AK6" t="s">
        <v>2895</v>
      </c>
      <c r="AT6">
        <f t="shared" ca="1" si="0"/>
        <v>2028</v>
      </c>
      <c r="AV6" t="s">
        <v>3011</v>
      </c>
      <c r="AW6" s="77" t="s">
        <v>3041</v>
      </c>
      <c r="AY6" t="str">
        <f>IF('Request for approval'!$D$74='Data validation'!$AX$1, IF('Data validation'!BA6="", "", 'Data validation'!BA6),
IF('Request for approval'!$D$74='Data validation'!$AX$2, IF('Data validation'!BB6="", "", 'Data validation'!BB6),
IF('Request for approval'!$D$74='Data validation'!$AX$3, IF('Data validation'!BC6="", "", 'Data validation'!BC6),
IF('Request for approval'!$D$74='Data validation'!$AX$4, IF('Data validation'!BD6="", "", 'Data validation'!BD6),
""))))</f>
        <v/>
      </c>
      <c r="BA6" s="76"/>
      <c r="BB6" s="76" t="s">
        <v>3294</v>
      </c>
      <c r="BC6" s="76" t="s">
        <v>3295</v>
      </c>
      <c r="BD6" s="76"/>
    </row>
    <row r="7" spans="1:60" ht="15" thickBot="1" x14ac:dyDescent="0.4">
      <c r="A7" t="s">
        <v>2885</v>
      </c>
      <c r="B7" t="s">
        <v>2897</v>
      </c>
      <c r="C7" s="5" t="s">
        <v>2898</v>
      </c>
      <c r="D7" t="s">
        <v>2899</v>
      </c>
      <c r="E7" t="s">
        <v>2900</v>
      </c>
      <c r="F7" s="9" t="s">
        <v>2901</v>
      </c>
      <c r="AK7" t="s">
        <v>2902</v>
      </c>
      <c r="AT7">
        <f t="shared" ca="1" si="0"/>
        <v>2029</v>
      </c>
      <c r="AV7" t="s">
        <v>3012</v>
      </c>
      <c r="AW7" s="77" t="s">
        <v>3042</v>
      </c>
      <c r="AY7" t="str">
        <f>IF('Request for approval'!$D$74='Data validation'!$AX$1, IF('Data validation'!BA7="", "", 'Data validation'!BA7),
IF('Request for approval'!$D$74='Data validation'!$AX$2, IF('Data validation'!BB7="", "", 'Data validation'!BB7),
IF('Request for approval'!$D$74='Data validation'!$AX$3, IF('Data validation'!BC7="", "", 'Data validation'!BC7),
IF('Request for approval'!$D$74='Data validation'!$AX$4, IF('Data validation'!BD7="", "", 'Data validation'!BD7),
""))))</f>
        <v/>
      </c>
      <c r="BA7" s="76"/>
      <c r="BB7" s="76" t="s">
        <v>3296</v>
      </c>
      <c r="BC7" s="76" t="s">
        <v>3297</v>
      </c>
      <c r="BD7" s="76"/>
    </row>
    <row r="8" spans="1:60" ht="15" thickBot="1" x14ac:dyDescent="0.4">
      <c r="A8" t="s">
        <v>2896</v>
      </c>
      <c r="B8" t="s">
        <v>2904</v>
      </c>
      <c r="C8" s="6" t="s">
        <v>3005</v>
      </c>
      <c r="D8" t="s">
        <v>2905</v>
      </c>
      <c r="F8" s="9" t="s">
        <v>2906</v>
      </c>
      <c r="G8" t="s">
        <v>2907</v>
      </c>
      <c r="Y8" t="s">
        <v>2908</v>
      </c>
      <c r="Z8" t="s">
        <v>2909</v>
      </c>
      <c r="AA8" t="s">
        <v>2910</v>
      </c>
      <c r="AB8" t="s">
        <v>2911</v>
      </c>
      <c r="AC8" t="s">
        <v>2912</v>
      </c>
      <c r="AD8" t="s">
        <v>2913</v>
      </c>
      <c r="AK8" t="s">
        <v>2914</v>
      </c>
      <c r="AT8">
        <f t="shared" ca="1" si="0"/>
        <v>2030</v>
      </c>
      <c r="AV8" t="s">
        <v>3012</v>
      </c>
      <c r="AW8" s="77" t="s">
        <v>3043</v>
      </c>
      <c r="AX8" t="b">
        <f>AX1='Request for approval'!D74</f>
        <v>0</v>
      </c>
      <c r="AY8" t="str">
        <f>IF('Request for approval'!$D$74='Data validation'!$AX$1, IF('Data validation'!BA8="", "", 'Data validation'!BA8),
IF('Request for approval'!$D$74='Data validation'!$AX$2, IF('Data validation'!BB8="", "", 'Data validation'!BB8),
IF('Request for approval'!$D$74='Data validation'!$AX$3, IF('Data validation'!BC8="", "", 'Data validation'!BC8),
IF('Request for approval'!$D$74='Data validation'!$AX$4, IF('Data validation'!BD8="", "", 'Data validation'!BD8),
""))))</f>
        <v/>
      </c>
      <c r="BA8" s="76"/>
      <c r="BB8" s="76" t="s">
        <v>3298</v>
      </c>
      <c r="BC8" s="76" t="s">
        <v>3299</v>
      </c>
      <c r="BD8" s="76"/>
    </row>
    <row r="9" spans="1:60" ht="15" thickBot="1" x14ac:dyDescent="0.4">
      <c r="A9" t="s">
        <v>2903</v>
      </c>
      <c r="B9" t="s">
        <v>2916</v>
      </c>
      <c r="C9" s="6" t="s">
        <v>2983</v>
      </c>
      <c r="F9" s="9" t="s">
        <v>2918</v>
      </c>
      <c r="Y9" cm="1">
        <f t="array" ref="Y9">TRANSPOSE(
    _xlfn.FILTERXML(
        "&lt;t&gt;&lt;s&gt;" &amp;
        SUBSTITUTE(
            X1,
            ";",
            "&lt;/s&gt;&lt;s&gt;"
        ) &amp; "&lt;/s&gt;&lt;/t&gt;",
        "//s"
    )
)</f>
        <v>0</v>
      </c>
      <c r="AK9" t="s">
        <v>2919</v>
      </c>
      <c r="AT9">
        <f t="shared" ca="1" si="0"/>
        <v>2031</v>
      </c>
      <c r="AV9" t="s">
        <v>3013</v>
      </c>
      <c r="AW9" s="77" t="s">
        <v>3044</v>
      </c>
      <c r="AY9" t="str">
        <f>IF('Request for approval'!$D$74='Data validation'!$AX$1, IF('Data validation'!BA9="", "", 'Data validation'!BA9),
IF('Request for approval'!$D$74='Data validation'!$AX$2, IF('Data validation'!BB9="", "", 'Data validation'!BB9),
IF('Request for approval'!$D$74='Data validation'!$AX$3, IF('Data validation'!BC9="", "", 'Data validation'!BC9),
IF('Request for approval'!$D$74='Data validation'!$AX$4, IF('Data validation'!BD9="", "", 'Data validation'!BD9),
""))))</f>
        <v/>
      </c>
      <c r="BC9" s="76" t="s">
        <v>3300</v>
      </c>
      <c r="BD9" s="76"/>
    </row>
    <row r="10" spans="1:60" ht="15" thickBot="1" x14ac:dyDescent="0.4">
      <c r="A10" t="s">
        <v>2915</v>
      </c>
      <c r="C10" s="6" t="s">
        <v>2917</v>
      </c>
      <c r="F10" s="9" t="s">
        <v>2921</v>
      </c>
      <c r="AG10" t="s">
        <v>2922</v>
      </c>
      <c r="AH10" t="s">
        <v>2923</v>
      </c>
      <c r="AK10" t="s">
        <v>2924</v>
      </c>
      <c r="AT10">
        <f t="shared" ca="1" si="0"/>
        <v>2032</v>
      </c>
      <c r="AV10" t="s">
        <v>3013</v>
      </c>
      <c r="AW10" s="77" t="s">
        <v>3045</v>
      </c>
      <c r="AY10" t="str">
        <f>IF('Request for approval'!$D$74='Data validation'!$AX$1, IF('Data validation'!BA10="", "", 'Data validation'!BA10),
IF('Request for approval'!$D$74='Data validation'!$AX$2, IF('Data validation'!BB10="", "", 'Data validation'!BB10),
IF('Request for approval'!$D$74='Data validation'!$AX$3, IF('Data validation'!BC10="", "", 'Data validation'!BC10),
IF('Request for approval'!$D$74='Data validation'!$AX$4, IF('Data validation'!BD10="", "", 'Data validation'!BD10),
""))))</f>
        <v/>
      </c>
      <c r="BC10" s="76" t="s">
        <v>3301</v>
      </c>
      <c r="BD10" s="76"/>
    </row>
    <row r="11" spans="1:60" ht="15" thickBot="1" x14ac:dyDescent="0.4">
      <c r="A11" t="s">
        <v>2920</v>
      </c>
      <c r="C11" s="6"/>
      <c r="F11" s="9" t="s">
        <v>2926</v>
      </c>
      <c r="AB11" t="s">
        <v>2908</v>
      </c>
      <c r="AC11" t="str">
        <f>TRIM(AB11)</f>
        <v>Tosin irums</v>
      </c>
      <c r="AD11" t="str">
        <f>SUBSTITUTE(AC11,,"")</f>
        <v>Tosin irums</v>
      </c>
      <c r="AE11" s="12" t="s">
        <v>2927</v>
      </c>
      <c r="AF11" t="str">
        <f>AD11&amp;AE11</f>
        <v>Tosin irums@esm.europa.eu</v>
      </c>
      <c r="AG11" t="s">
        <v>2928</v>
      </c>
      <c r="AH11">
        <f>LEN(AG11)</f>
        <v>24</v>
      </c>
      <c r="AT11">
        <f t="shared" ca="1" si="0"/>
        <v>2033</v>
      </c>
      <c r="AV11" t="s">
        <v>3014</v>
      </c>
      <c r="AW11" s="77" t="s">
        <v>3046</v>
      </c>
      <c r="AY11" t="str">
        <f>IF('Request for approval'!$D$74='Data validation'!$AX$1, IF('Data validation'!BA11="", "", 'Data validation'!BA11),
IF('Request for approval'!$D$74='Data validation'!$AX$2, IF('Data validation'!BB11="", "", 'Data validation'!BB11),
IF('Request for approval'!$D$74='Data validation'!$AX$3, IF('Data validation'!BC11="", "", 'Data validation'!BC11),
IF('Request for approval'!$D$74='Data validation'!$AX$4, IF('Data validation'!BD11="", "", 'Data validation'!BD11),
""))))</f>
        <v/>
      </c>
      <c r="BC11" s="76" t="s">
        <v>3302</v>
      </c>
      <c r="BD11" s="76"/>
    </row>
    <row r="12" spans="1:60" ht="15" thickBot="1" x14ac:dyDescent="0.4">
      <c r="A12" t="s">
        <v>2925</v>
      </c>
      <c r="F12" s="9" t="s">
        <v>2930</v>
      </c>
      <c r="K12" t="str">
        <f>H1&amp;" "&amp;I1&amp;" "&amp;'Request for approval'!D8&amp;'Request for approval'!D10&amp;" "&amp;"-"&amp;" "&amp;'Request for approval'!D12&amp;" "&amp;"-"&amp;" "&amp;" "&amp;'Data validation'!J1&amp;" "&amp;'Request for approval'!D68</f>
        <v xml:space="preserve">For Action: Contract with  -  -  PLANT </v>
      </c>
      <c r="AB12" t="s">
        <v>2931</v>
      </c>
      <c r="AC12" t="str">
        <f t="shared" ref="AC12:AC25" si="1">TRIM(AB12)</f>
        <v>Mark</v>
      </c>
      <c r="AD12" t="str">
        <f t="shared" ref="AD12:AD25" si="2">SUBSTITUTE(AC12," ","")</f>
        <v>Mark</v>
      </c>
      <c r="AE12" s="12" t="s">
        <v>2927</v>
      </c>
      <c r="AF12" t="str">
        <f t="shared" ref="AF12:AF25" si="3">AD12&amp;AE12</f>
        <v>Mark@esm.europa.eu</v>
      </c>
      <c r="AG12" t="s">
        <v>2932</v>
      </c>
      <c r="AH12">
        <f t="shared" ref="AH12:AH25" si="4">LEN(AG12)</f>
        <v>18</v>
      </c>
      <c r="AT12">
        <f t="shared" ca="1" si="0"/>
        <v>2034</v>
      </c>
      <c r="AV12" t="s">
        <v>3015</v>
      </c>
      <c r="AW12" s="77" t="s">
        <v>3047</v>
      </c>
      <c r="AY12" t="str">
        <f>IF('Request for approval'!$D$74='Data validation'!$AX$1, IF('Data validation'!BA12="", "", 'Data validation'!BA12),
IF('Request for approval'!$D$74='Data validation'!$AX$2, IF('Data validation'!BB12="", "", 'Data validation'!BB12),
IF('Request for approval'!$D$74='Data validation'!$AX$3, IF('Data validation'!BC12="", "", 'Data validation'!BC12),
IF('Request for approval'!$D$74='Data validation'!$AX$4, IF('Data validation'!BD12="", "", 'Data validation'!BD12),
""))))</f>
        <v/>
      </c>
      <c r="BC12" s="76" t="s">
        <v>3303</v>
      </c>
      <c r="BD12" s="76"/>
    </row>
    <row r="13" spans="1:60" ht="15" thickBot="1" x14ac:dyDescent="0.4">
      <c r="A13" t="s">
        <v>2929</v>
      </c>
      <c r="F13" s="9" t="s">
        <v>2934</v>
      </c>
      <c r="AB13" t="s">
        <v>2935</v>
      </c>
      <c r="AC13" t="str">
        <f t="shared" si="1"/>
        <v>bolus</v>
      </c>
      <c r="AD13" t="str">
        <f t="shared" si="2"/>
        <v>bolus</v>
      </c>
      <c r="AE13" s="12" t="s">
        <v>2927</v>
      </c>
      <c r="AF13" t="str">
        <f t="shared" si="3"/>
        <v>bolus@esm.europa.eu</v>
      </c>
      <c r="AG13" t="s">
        <v>2936</v>
      </c>
      <c r="AH13">
        <f t="shared" si="4"/>
        <v>19</v>
      </c>
      <c r="AT13">
        <f t="shared" ca="1" si="0"/>
        <v>2035</v>
      </c>
      <c r="AV13" t="s">
        <v>3016</v>
      </c>
      <c r="AW13" s="77" t="s">
        <v>3048</v>
      </c>
      <c r="AY13" t="str">
        <f>IF('Request for approval'!$D$74='Data validation'!$AX$1, IF('Data validation'!BA13="", "", 'Data validation'!BA13),
IF('Request for approval'!$D$74='Data validation'!$AX$2, IF('Data validation'!BB13="", "", 'Data validation'!BB13),
IF('Request for approval'!$D$74='Data validation'!$AX$3, IF('Data validation'!BC13="", "", 'Data validation'!BC13),
IF('Request for approval'!$D$74='Data validation'!$AX$4, IF('Data validation'!BD13="", "", 'Data validation'!BD13),
""))))</f>
        <v/>
      </c>
      <c r="BC13" s="76" t="s">
        <v>3304</v>
      </c>
      <c r="BD13" s="76"/>
    </row>
    <row r="14" spans="1:60" ht="15" thickBot="1" x14ac:dyDescent="0.4">
      <c r="A14" t="s">
        <v>2933</v>
      </c>
      <c r="F14" s="9" t="s">
        <v>2938</v>
      </c>
      <c r="AB14" t="s">
        <v>2939</v>
      </c>
      <c r="AC14" t="str">
        <f t="shared" si="1"/>
        <v>emeka</v>
      </c>
      <c r="AD14" t="str">
        <f t="shared" si="2"/>
        <v>emeka</v>
      </c>
      <c r="AE14" s="12" t="s">
        <v>2927</v>
      </c>
      <c r="AF14" t="str">
        <f t="shared" si="3"/>
        <v>emeka@esm.europa.eu</v>
      </c>
      <c r="AG14" t="s">
        <v>2940</v>
      </c>
      <c r="AH14">
        <f t="shared" si="4"/>
        <v>19</v>
      </c>
      <c r="AT14">
        <f t="shared" ca="1" si="0"/>
        <v>2036</v>
      </c>
      <c r="AV14" t="s">
        <v>3016</v>
      </c>
      <c r="AW14" s="77" t="s">
        <v>3049</v>
      </c>
      <c r="AY14" t="str">
        <f>IF('Request for approval'!$D$74='Data validation'!$AX$1, IF('Data validation'!BA14="", "", 'Data validation'!BA14),
IF('Request for approval'!$D$74='Data validation'!$AX$2, IF('Data validation'!BB14="", "", 'Data validation'!BB14),
IF('Request for approval'!$D$74='Data validation'!$AX$3, IF('Data validation'!BC14="", "", 'Data validation'!BC14),
IF('Request for approval'!$D$74='Data validation'!$AX$4, IF('Data validation'!BD14="", "", 'Data validation'!BD14),
""))))</f>
        <v/>
      </c>
      <c r="BC14" s="76" t="s">
        <v>3305</v>
      </c>
      <c r="BD14" s="76"/>
    </row>
    <row r="15" spans="1:60" ht="15" thickBot="1" x14ac:dyDescent="0.4">
      <c r="A15" t="s">
        <v>2979</v>
      </c>
      <c r="F15" s="9" t="s">
        <v>2942</v>
      </c>
      <c r="AC15" t="str">
        <f t="shared" si="1"/>
        <v/>
      </c>
      <c r="AD15" t="str">
        <f t="shared" si="2"/>
        <v/>
      </c>
      <c r="AE15" s="12" t="s">
        <v>2927</v>
      </c>
      <c r="AF15" t="str">
        <f t="shared" si="3"/>
        <v>@esm.europa.eu</v>
      </c>
      <c r="AG15" t="s">
        <v>2927</v>
      </c>
      <c r="AH15">
        <f t="shared" si="4"/>
        <v>14</v>
      </c>
      <c r="AT15">
        <f t="shared" ca="1" si="0"/>
        <v>2037</v>
      </c>
      <c r="AV15" t="s">
        <v>3017</v>
      </c>
      <c r="AW15" s="77" t="s">
        <v>3050</v>
      </c>
      <c r="AY15" t="str">
        <f>IF('Request for approval'!$D$74='Data validation'!$AX$1, IF('Data validation'!BA15="", "", 'Data validation'!BA15),
IF('Request for approval'!$D$74='Data validation'!$AX$2, IF('Data validation'!BB15="", "", 'Data validation'!BB15),
IF('Request for approval'!$D$74='Data validation'!$AX$3, IF('Data validation'!BC15="", "", 'Data validation'!BC15),
IF('Request for approval'!$D$74='Data validation'!$AX$4, IF('Data validation'!BD15="", "", 'Data validation'!BD15),
""))))</f>
        <v/>
      </c>
      <c r="BC15" s="76" t="s">
        <v>3306</v>
      </c>
      <c r="BD15" s="76"/>
    </row>
    <row r="16" spans="1:60" ht="15" thickBot="1" x14ac:dyDescent="0.4">
      <c r="A16" t="s">
        <v>2937</v>
      </c>
      <c r="F16" s="9" t="s">
        <v>2944</v>
      </c>
      <c r="AC16" t="str">
        <f t="shared" si="1"/>
        <v/>
      </c>
      <c r="AD16" t="str">
        <f t="shared" si="2"/>
        <v/>
      </c>
      <c r="AE16" s="12" t="s">
        <v>2927</v>
      </c>
      <c r="AF16" t="str">
        <f t="shared" si="3"/>
        <v>@esm.europa.eu</v>
      </c>
      <c r="AG16" t="s">
        <v>2927</v>
      </c>
      <c r="AH16">
        <f t="shared" si="4"/>
        <v>14</v>
      </c>
      <c r="AT16">
        <f t="shared" ca="1" si="0"/>
        <v>2038</v>
      </c>
      <c r="AV16" t="s">
        <v>3018</v>
      </c>
      <c r="AW16" s="77" t="s">
        <v>3051</v>
      </c>
      <c r="AY16" t="str">
        <f>IF('Request for approval'!$D$74='Data validation'!$AX$1, IF('Data validation'!BA16="", "", 'Data validation'!BA16),
IF('Request for approval'!$D$74='Data validation'!$AX$2, IF('Data validation'!BB16="", "", 'Data validation'!BB16),
IF('Request for approval'!$D$74='Data validation'!$AX$3, IF('Data validation'!BC16="", "", 'Data validation'!BC16),
IF('Request for approval'!$D$74='Data validation'!$AX$4, IF('Data validation'!BD16="", "", 'Data validation'!BD16),
""))))</f>
        <v/>
      </c>
      <c r="BC16" s="76" t="s">
        <v>3307</v>
      </c>
      <c r="BD16" s="76"/>
    </row>
    <row r="17" spans="1:56" ht="15" thickBot="1" x14ac:dyDescent="0.4">
      <c r="A17" t="s">
        <v>2941</v>
      </c>
      <c r="F17" s="9" t="s">
        <v>2946</v>
      </c>
      <c r="AC17" t="str">
        <f t="shared" si="1"/>
        <v/>
      </c>
      <c r="AD17" t="str">
        <f t="shared" si="2"/>
        <v/>
      </c>
      <c r="AE17" s="12" t="s">
        <v>2927</v>
      </c>
      <c r="AF17" t="str">
        <f t="shared" si="3"/>
        <v>@esm.europa.eu</v>
      </c>
      <c r="AG17" t="s">
        <v>2927</v>
      </c>
      <c r="AH17">
        <f t="shared" si="4"/>
        <v>14</v>
      </c>
      <c r="AT17">
        <f t="shared" ca="1" si="0"/>
        <v>2039</v>
      </c>
      <c r="AV17" t="s">
        <v>3018</v>
      </c>
      <c r="AW17" s="77" t="s">
        <v>3052</v>
      </c>
      <c r="AY17" t="str">
        <f>IF('Request for approval'!$D$74='Data validation'!$AX$1, IF('Data validation'!BA17="", "", 'Data validation'!BA17),
IF('Request for approval'!$D$74='Data validation'!$AX$2, IF('Data validation'!BB17="", "", 'Data validation'!BB17),
IF('Request for approval'!$D$74='Data validation'!$AX$3, IF('Data validation'!BC17="", "", 'Data validation'!BC17),
IF('Request for approval'!$D$74='Data validation'!$AX$4, IF('Data validation'!BD17="", "", 'Data validation'!BD17),
""))))</f>
        <v/>
      </c>
      <c r="BC17" s="76" t="s">
        <v>3308</v>
      </c>
      <c r="BD17" s="76"/>
    </row>
    <row r="18" spans="1:56" ht="15" thickBot="1" x14ac:dyDescent="0.4">
      <c r="A18" t="s">
        <v>2943</v>
      </c>
      <c r="F18" s="9" t="s">
        <v>2948</v>
      </c>
      <c r="AC18" t="str">
        <f t="shared" si="1"/>
        <v/>
      </c>
      <c r="AD18" t="str">
        <f t="shared" si="2"/>
        <v/>
      </c>
      <c r="AE18" s="12" t="s">
        <v>2927</v>
      </c>
      <c r="AF18" t="str">
        <f t="shared" si="3"/>
        <v>@esm.europa.eu</v>
      </c>
      <c r="AG18" t="s">
        <v>2927</v>
      </c>
      <c r="AH18">
        <f t="shared" si="4"/>
        <v>14</v>
      </c>
      <c r="AT18">
        <f t="shared" ca="1" si="0"/>
        <v>2040</v>
      </c>
      <c r="AV18" t="s">
        <v>3019</v>
      </c>
      <c r="AW18" s="77" t="s">
        <v>3053</v>
      </c>
      <c r="AY18" t="str">
        <f>IF('Request for approval'!$D$74='Data validation'!$AX$1, IF('Data validation'!BA18="", "", 'Data validation'!BA18),
IF('Request for approval'!$D$74='Data validation'!$AX$2, IF('Data validation'!BB18="", "", 'Data validation'!BB18),
IF('Request for approval'!$D$74='Data validation'!$AX$3, IF('Data validation'!BC18="", "", 'Data validation'!BC18),
IF('Request for approval'!$D$74='Data validation'!$AX$4, IF('Data validation'!BD18="", "", 'Data validation'!BD18),
""))))</f>
        <v/>
      </c>
      <c r="BC18" s="76" t="s">
        <v>3309</v>
      </c>
    </row>
    <row r="19" spans="1:56" ht="15" thickBot="1" x14ac:dyDescent="0.4">
      <c r="A19" t="s">
        <v>2980</v>
      </c>
      <c r="F19" s="9" t="s">
        <v>2950</v>
      </c>
      <c r="AC19" t="str">
        <f t="shared" si="1"/>
        <v/>
      </c>
      <c r="AD19" t="str">
        <f t="shared" si="2"/>
        <v/>
      </c>
      <c r="AE19" s="12" t="s">
        <v>2927</v>
      </c>
      <c r="AF19" t="str">
        <f t="shared" si="3"/>
        <v>@esm.europa.eu</v>
      </c>
      <c r="AG19" t="s">
        <v>2927</v>
      </c>
      <c r="AH19">
        <f t="shared" si="4"/>
        <v>14</v>
      </c>
      <c r="AV19" t="s">
        <v>2437</v>
      </c>
      <c r="AW19" s="77" t="s">
        <v>3054</v>
      </c>
      <c r="AY19" t="str">
        <f>IF('Request for approval'!$D$74='Data validation'!$AX$1, IF('Data validation'!BA19="", "", 'Data validation'!BA19),
IF('Request for approval'!$D$74='Data validation'!$AX$2, IF('Data validation'!BB19="", "", 'Data validation'!BB19),
IF('Request for approval'!$D$74='Data validation'!$AX$3, IF('Data validation'!BC19="", "", 'Data validation'!BC19),
IF('Request for approval'!$D$74='Data validation'!$AX$4, IF('Data validation'!BD19="", "", 'Data validation'!BD19),
""))))</f>
        <v/>
      </c>
    </row>
    <row r="20" spans="1:56" ht="15" thickBot="1" x14ac:dyDescent="0.4">
      <c r="A20" t="s">
        <v>2945</v>
      </c>
      <c r="F20" s="9" t="s">
        <v>2952</v>
      </c>
      <c r="AC20" t="str">
        <f t="shared" si="1"/>
        <v/>
      </c>
      <c r="AD20" t="str">
        <f t="shared" si="2"/>
        <v/>
      </c>
      <c r="AE20" s="12" t="s">
        <v>2927</v>
      </c>
      <c r="AF20" t="str">
        <f t="shared" si="3"/>
        <v>@esm.europa.eu</v>
      </c>
      <c r="AG20" t="s">
        <v>2927</v>
      </c>
      <c r="AH20">
        <f t="shared" si="4"/>
        <v>14</v>
      </c>
      <c r="AV20" t="s">
        <v>3020</v>
      </c>
      <c r="AW20" s="77" t="s">
        <v>3055</v>
      </c>
      <c r="AY20" t="str">
        <f>IF('Request for approval'!$D$74='Data validation'!$AX$1, IF('Data validation'!BA20="", "", 'Data validation'!BA20),
IF('Request for approval'!$D$74='Data validation'!$AX$2, IF('Data validation'!BB20="", "", 'Data validation'!BB20),
IF('Request for approval'!$D$74='Data validation'!$AX$3, IF('Data validation'!BC20="", "", 'Data validation'!BC20),
IF('Request for approval'!$D$74='Data validation'!$AX$4, IF('Data validation'!BD20="", "", 'Data validation'!BD20),
""))))</f>
        <v/>
      </c>
    </row>
    <row r="21" spans="1:56" ht="15" thickBot="1" x14ac:dyDescent="0.4">
      <c r="A21" t="s">
        <v>2947</v>
      </c>
      <c r="F21" s="9" t="s">
        <v>2953</v>
      </c>
      <c r="AC21" t="str">
        <f t="shared" si="1"/>
        <v/>
      </c>
      <c r="AD21" t="str">
        <f t="shared" si="2"/>
        <v/>
      </c>
      <c r="AE21" s="12" t="s">
        <v>2927</v>
      </c>
      <c r="AF21" t="str">
        <f t="shared" si="3"/>
        <v>@esm.europa.eu</v>
      </c>
      <c r="AG21" t="s">
        <v>2927</v>
      </c>
      <c r="AH21">
        <f t="shared" si="4"/>
        <v>14</v>
      </c>
      <c r="AV21" t="s">
        <v>3021</v>
      </c>
      <c r="AW21" s="77" t="s">
        <v>3056</v>
      </c>
      <c r="AY21" t="str">
        <f>IF('Request for approval'!$D$74='Data validation'!$AX$1, IF('Data validation'!BA21="", "", 'Data validation'!BA21),
IF('Request for approval'!$D$74='Data validation'!$AX$2, IF('Data validation'!BB21="", "", 'Data validation'!BB21),
IF('Request for approval'!$D$74='Data validation'!$AX$3, IF('Data validation'!BC21="", "", 'Data validation'!BC21),
IF('Request for approval'!$D$74='Data validation'!$AX$4, IF('Data validation'!BD21="", "", 'Data validation'!BD21),
""))))</f>
        <v/>
      </c>
    </row>
    <row r="22" spans="1:56" ht="15" thickBot="1" x14ac:dyDescent="0.4">
      <c r="A22" t="s">
        <v>2949</v>
      </c>
      <c r="F22" s="9" t="s">
        <v>2954</v>
      </c>
      <c r="AC22" t="str">
        <f t="shared" si="1"/>
        <v/>
      </c>
      <c r="AD22" t="str">
        <f t="shared" si="2"/>
        <v/>
      </c>
      <c r="AE22" s="12" t="s">
        <v>2927</v>
      </c>
      <c r="AF22" t="str">
        <f t="shared" si="3"/>
        <v>@esm.europa.eu</v>
      </c>
      <c r="AG22" t="s">
        <v>2927</v>
      </c>
      <c r="AH22">
        <f t="shared" si="4"/>
        <v>14</v>
      </c>
      <c r="AV22" t="s">
        <v>3022</v>
      </c>
      <c r="AW22" s="77" t="s">
        <v>3057</v>
      </c>
      <c r="AY22" t="str">
        <f>IF('Request for approval'!$D$74='Data validation'!$AX$1, IF('Data validation'!BA22="", "", 'Data validation'!BA22),
IF('Request for approval'!$D$74='Data validation'!$AX$2, IF('Data validation'!BB22="", "", 'Data validation'!BB22),
IF('Request for approval'!$D$74='Data validation'!$AX$3, IF('Data validation'!BC22="", "", 'Data validation'!BC22),
IF('Request for approval'!$D$74='Data validation'!$AX$4, IF('Data validation'!BD22="", "", 'Data validation'!BD22),
""))))</f>
        <v/>
      </c>
    </row>
    <row r="23" spans="1:56" ht="15" thickBot="1" x14ac:dyDescent="0.4">
      <c r="A23" t="s">
        <v>2951</v>
      </c>
      <c r="F23" s="9" t="s">
        <v>2955</v>
      </c>
      <c r="AC23" t="str">
        <f t="shared" si="1"/>
        <v/>
      </c>
      <c r="AD23" t="str">
        <f t="shared" si="2"/>
        <v/>
      </c>
      <c r="AE23" s="12" t="s">
        <v>2927</v>
      </c>
      <c r="AF23" t="str">
        <f t="shared" si="3"/>
        <v>@esm.europa.eu</v>
      </c>
      <c r="AG23" t="s">
        <v>2927</v>
      </c>
      <c r="AH23">
        <f t="shared" si="4"/>
        <v>14</v>
      </c>
      <c r="AV23" t="s">
        <v>3023</v>
      </c>
      <c r="AW23" s="77" t="s">
        <v>3058</v>
      </c>
      <c r="AY23" t="str">
        <f>IF('Request for approval'!$D$74='Data validation'!$AX$1, IF('Data validation'!BA23="", "", 'Data validation'!BA23),
IF('Request for approval'!$D$74='Data validation'!$AX$2, IF('Data validation'!BB23="", "", 'Data validation'!BB23),
IF('Request for approval'!$D$74='Data validation'!$AX$3, IF('Data validation'!BC23="", "", 'Data validation'!BC23),
IF('Request for approval'!$D$74='Data validation'!$AX$4, IF('Data validation'!BD23="", "", 'Data validation'!BD23),
""))))</f>
        <v/>
      </c>
    </row>
    <row r="24" spans="1:56" ht="15" thickBot="1" x14ac:dyDescent="0.4">
      <c r="F24" s="9" t="s">
        <v>2956</v>
      </c>
      <c r="AC24" t="str">
        <f t="shared" si="1"/>
        <v/>
      </c>
      <c r="AD24" t="str">
        <f t="shared" si="2"/>
        <v/>
      </c>
      <c r="AE24" s="12" t="s">
        <v>2927</v>
      </c>
      <c r="AF24" t="str">
        <f t="shared" si="3"/>
        <v>@esm.europa.eu</v>
      </c>
      <c r="AG24" t="s">
        <v>2927</v>
      </c>
      <c r="AH24">
        <f t="shared" si="4"/>
        <v>14</v>
      </c>
      <c r="AV24" t="s">
        <v>3024</v>
      </c>
      <c r="AW24" s="77" t="s">
        <v>3059</v>
      </c>
      <c r="AY24" t="str">
        <f>IF('Request for approval'!$D$74='Data validation'!$AX$1, IF('Data validation'!BA24="", "", 'Data validation'!BA24),
IF('Request for approval'!$D$74='Data validation'!$AX$2, IF('Data validation'!BB24="", "", 'Data validation'!BB24),
IF('Request for approval'!$D$74='Data validation'!$AX$3, IF('Data validation'!BC24="", "", 'Data validation'!BC24),
IF('Request for approval'!$D$74='Data validation'!$AX$4, IF('Data validation'!BD24="", "", 'Data validation'!BD24),
""))))</f>
        <v/>
      </c>
    </row>
    <row r="25" spans="1:56" x14ac:dyDescent="0.35">
      <c r="E25" t="s">
        <v>2981</v>
      </c>
      <c r="AC25" t="str">
        <f t="shared" si="1"/>
        <v/>
      </c>
      <c r="AD25" t="str">
        <f t="shared" si="2"/>
        <v/>
      </c>
      <c r="AE25" s="12" t="s">
        <v>2927</v>
      </c>
      <c r="AF25" t="str">
        <f t="shared" si="3"/>
        <v>@esm.europa.eu</v>
      </c>
      <c r="AG25" t="s">
        <v>2927</v>
      </c>
      <c r="AH25">
        <f t="shared" si="4"/>
        <v>14</v>
      </c>
      <c r="AV25" t="s">
        <v>3025</v>
      </c>
      <c r="AW25" s="77" t="s">
        <v>3060</v>
      </c>
      <c r="AY25" t="str">
        <f>IF('Request for approval'!$D$74='Data validation'!$AX$1, IF('Data validation'!BA25="", "", 'Data validation'!BA25),
IF('Request for approval'!$D$74='Data validation'!$AX$2, IF('Data validation'!BB25="", "", 'Data validation'!BB25),
IF('Request for approval'!$D$74='Data validation'!$AX$3, IF('Data validation'!BC25="", "", 'Data validation'!BC25),
IF('Request for approval'!$D$74='Data validation'!$AX$4, IF('Data validation'!BD25="", "", 'Data validation'!BD25),
""))))</f>
        <v/>
      </c>
    </row>
    <row r="26" spans="1:56" x14ac:dyDescent="0.35">
      <c r="E26" t="s">
        <v>2957</v>
      </c>
      <c r="AV26" t="s">
        <v>3026</v>
      </c>
      <c r="AW26" s="77" t="s">
        <v>3061</v>
      </c>
    </row>
    <row r="27" spans="1:56" x14ac:dyDescent="0.35">
      <c r="E27" t="s">
        <v>2958</v>
      </c>
      <c r="AV27" t="s">
        <v>3027</v>
      </c>
      <c r="AW27" s="77" t="s">
        <v>3062</v>
      </c>
    </row>
    <row r="28" spans="1:56" x14ac:dyDescent="0.35">
      <c r="E28" t="s">
        <v>2959</v>
      </c>
      <c r="AV28" t="s">
        <v>3028</v>
      </c>
      <c r="AW28" s="77" t="s">
        <v>3063</v>
      </c>
    </row>
    <row r="29" spans="1:56" x14ac:dyDescent="0.35">
      <c r="AV29" t="s">
        <v>3029</v>
      </c>
      <c r="AW29" s="77" t="s">
        <v>3064</v>
      </c>
    </row>
    <row r="30" spans="1:56" x14ac:dyDescent="0.35">
      <c r="AV30" t="s">
        <v>3030</v>
      </c>
      <c r="AW30" s="77" t="s">
        <v>3065</v>
      </c>
    </row>
    <row r="31" spans="1:56" x14ac:dyDescent="0.35">
      <c r="E31" s="13"/>
      <c r="F31" s="14"/>
      <c r="AV31" t="s">
        <v>3031</v>
      </c>
      <c r="AW31" s="77" t="s">
        <v>3066</v>
      </c>
    </row>
    <row r="32" spans="1:56" x14ac:dyDescent="0.35">
      <c r="E32" s="10"/>
      <c r="AV32" t="s">
        <v>3032</v>
      </c>
      <c r="AW32" s="77" t="s">
        <v>3067</v>
      </c>
    </row>
    <row r="33" spans="5:49" x14ac:dyDescent="0.35">
      <c r="AV33" t="s">
        <v>3033</v>
      </c>
      <c r="AW33" s="77" t="s">
        <v>3068</v>
      </c>
    </row>
    <row r="34" spans="5:49" x14ac:dyDescent="0.35">
      <c r="AV34" t="s">
        <v>3034</v>
      </c>
      <c r="AW34" s="77" t="s">
        <v>3069</v>
      </c>
    </row>
    <row r="35" spans="5:49" x14ac:dyDescent="0.35">
      <c r="E35" s="11"/>
      <c r="AV35" t="s">
        <v>3035</v>
      </c>
      <c r="AW35" s="77" t="s">
        <v>3070</v>
      </c>
    </row>
    <row r="36" spans="5:49" x14ac:dyDescent="0.35">
      <c r="AW36" s="77" t="s">
        <v>3071</v>
      </c>
    </row>
    <row r="37" spans="5:49" x14ac:dyDescent="0.35">
      <c r="AW37" s="77" t="s">
        <v>3072</v>
      </c>
    </row>
    <row r="38" spans="5:49" x14ac:dyDescent="0.35">
      <c r="AW38" s="77" t="s">
        <v>3073</v>
      </c>
    </row>
    <row r="39" spans="5:49" x14ac:dyDescent="0.35">
      <c r="AW39" s="77" t="s">
        <v>3074</v>
      </c>
    </row>
    <row r="40" spans="5:49" x14ac:dyDescent="0.35">
      <c r="AW40" s="77" t="s">
        <v>3075</v>
      </c>
    </row>
    <row r="41" spans="5:49" x14ac:dyDescent="0.35">
      <c r="AW41" s="77" t="s">
        <v>3076</v>
      </c>
    </row>
    <row r="42" spans="5:49" x14ac:dyDescent="0.35">
      <c r="AW42" s="77" t="s">
        <v>3077</v>
      </c>
    </row>
    <row r="43" spans="5:49" x14ac:dyDescent="0.35">
      <c r="AW43" s="77" t="s">
        <v>3078</v>
      </c>
    </row>
    <row r="44" spans="5:49" x14ac:dyDescent="0.35">
      <c r="AW44" s="77" t="s">
        <v>3079</v>
      </c>
    </row>
    <row r="45" spans="5:49" x14ac:dyDescent="0.35">
      <c r="AW45" s="77" t="s">
        <v>3080</v>
      </c>
    </row>
    <row r="46" spans="5:49" x14ac:dyDescent="0.35">
      <c r="AW46" s="77" t="s">
        <v>3081</v>
      </c>
    </row>
    <row r="47" spans="5:49" x14ac:dyDescent="0.35">
      <c r="AW47" s="77" t="s">
        <v>3082</v>
      </c>
    </row>
    <row r="48" spans="5:49" x14ac:dyDescent="0.35">
      <c r="AW48" s="77" t="s">
        <v>3083</v>
      </c>
    </row>
    <row r="49" spans="49:49" x14ac:dyDescent="0.35">
      <c r="AW49" s="77" t="s">
        <v>3084</v>
      </c>
    </row>
    <row r="50" spans="49:49" x14ac:dyDescent="0.35">
      <c r="AW50" s="77" t="s">
        <v>3085</v>
      </c>
    </row>
    <row r="51" spans="49:49" x14ac:dyDescent="0.35">
      <c r="AW51" s="77" t="s">
        <v>3086</v>
      </c>
    </row>
    <row r="52" spans="49:49" x14ac:dyDescent="0.35">
      <c r="AW52" s="77" t="s">
        <v>3087</v>
      </c>
    </row>
    <row r="53" spans="49:49" x14ac:dyDescent="0.35">
      <c r="AW53" s="77" t="s">
        <v>3088</v>
      </c>
    </row>
    <row r="54" spans="49:49" x14ac:dyDescent="0.35">
      <c r="AW54" s="77" t="s">
        <v>3089</v>
      </c>
    </row>
    <row r="55" spans="49:49" x14ac:dyDescent="0.35">
      <c r="AW55" s="77" t="s">
        <v>3090</v>
      </c>
    </row>
    <row r="56" spans="49:49" x14ac:dyDescent="0.35">
      <c r="AW56" s="77" t="s">
        <v>3091</v>
      </c>
    </row>
    <row r="57" spans="49:49" x14ac:dyDescent="0.35">
      <c r="AW57" s="77" t="s">
        <v>3092</v>
      </c>
    </row>
    <row r="58" spans="49:49" x14ac:dyDescent="0.35">
      <c r="AW58" s="77" t="s">
        <v>3093</v>
      </c>
    </row>
    <row r="59" spans="49:49" x14ac:dyDescent="0.35">
      <c r="AW59" s="77" t="s">
        <v>3094</v>
      </c>
    </row>
    <row r="60" spans="49:49" x14ac:dyDescent="0.35">
      <c r="AW60" s="77" t="s">
        <v>3095</v>
      </c>
    </row>
    <row r="61" spans="49:49" x14ac:dyDescent="0.35">
      <c r="AW61" s="77" t="s">
        <v>3096</v>
      </c>
    </row>
    <row r="62" spans="49:49" x14ac:dyDescent="0.35">
      <c r="AW62" s="77" t="s">
        <v>3097</v>
      </c>
    </row>
    <row r="63" spans="49:49" x14ac:dyDescent="0.35">
      <c r="AW63" s="77" t="s">
        <v>3098</v>
      </c>
    </row>
    <row r="64" spans="49:49" x14ac:dyDescent="0.35">
      <c r="AW64" s="77" t="s">
        <v>3099</v>
      </c>
    </row>
    <row r="65" spans="49:51" x14ac:dyDescent="0.35">
      <c r="AW65" s="77" t="s">
        <v>3100</v>
      </c>
      <c r="AY65" t="s">
        <v>3275</v>
      </c>
    </row>
    <row r="66" spans="49:51" x14ac:dyDescent="0.35">
      <c r="AW66" s="77" t="s">
        <v>3101</v>
      </c>
      <c r="AY66" t="s">
        <v>3279</v>
      </c>
    </row>
    <row r="67" spans="49:51" x14ac:dyDescent="0.35">
      <c r="AW67" s="77" t="s">
        <v>3102</v>
      </c>
      <c r="AY67" t="s">
        <v>3283</v>
      </c>
    </row>
    <row r="68" spans="49:51" x14ac:dyDescent="0.35">
      <c r="AW68" s="77" t="s">
        <v>3103</v>
      </c>
      <c r="AY68" t="s">
        <v>3287</v>
      </c>
    </row>
    <row r="69" spans="49:51" x14ac:dyDescent="0.35">
      <c r="AW69" s="77" t="s">
        <v>3104</v>
      </c>
    </row>
    <row r="70" spans="49:51" x14ac:dyDescent="0.35">
      <c r="AW70" s="77" t="s">
        <v>3105</v>
      </c>
    </row>
    <row r="71" spans="49:51" x14ac:dyDescent="0.35">
      <c r="AW71" s="77" t="s">
        <v>3106</v>
      </c>
    </row>
    <row r="72" spans="49:51" x14ac:dyDescent="0.35">
      <c r="AW72" s="77" t="s">
        <v>3107</v>
      </c>
    </row>
    <row r="73" spans="49:51" x14ac:dyDescent="0.35">
      <c r="AW73" s="77" t="s">
        <v>3108</v>
      </c>
    </row>
    <row r="74" spans="49:51" x14ac:dyDescent="0.35">
      <c r="AW74" s="77" t="s">
        <v>3109</v>
      </c>
    </row>
    <row r="75" spans="49:51" x14ac:dyDescent="0.35">
      <c r="AW75" s="77" t="s">
        <v>3110</v>
      </c>
    </row>
    <row r="76" spans="49:51" x14ac:dyDescent="0.35">
      <c r="AW76" s="77" t="s">
        <v>3111</v>
      </c>
    </row>
    <row r="77" spans="49:51" x14ac:dyDescent="0.35">
      <c r="AW77" s="77" t="s">
        <v>3112</v>
      </c>
    </row>
    <row r="78" spans="49:51" x14ac:dyDescent="0.35">
      <c r="AW78" s="77" t="s">
        <v>3113</v>
      </c>
    </row>
    <row r="79" spans="49:51" x14ac:dyDescent="0.35">
      <c r="AW79" s="77" t="s">
        <v>3114</v>
      </c>
    </row>
    <row r="80" spans="49:51" x14ac:dyDescent="0.35">
      <c r="AW80" s="77" t="s">
        <v>3115</v>
      </c>
    </row>
    <row r="81" spans="49:49" x14ac:dyDescent="0.35">
      <c r="AW81" s="77" t="s">
        <v>3116</v>
      </c>
    </row>
    <row r="82" spans="49:49" x14ac:dyDescent="0.35">
      <c r="AW82" s="77" t="s">
        <v>3117</v>
      </c>
    </row>
    <row r="83" spans="49:49" x14ac:dyDescent="0.35">
      <c r="AW83" s="77" t="s">
        <v>3118</v>
      </c>
    </row>
    <row r="84" spans="49:49" x14ac:dyDescent="0.35">
      <c r="AW84" s="77" t="s">
        <v>3119</v>
      </c>
    </row>
    <row r="85" spans="49:49" x14ac:dyDescent="0.35">
      <c r="AW85" s="77" t="s">
        <v>3120</v>
      </c>
    </row>
    <row r="86" spans="49:49" x14ac:dyDescent="0.35">
      <c r="AW86" s="77" t="s">
        <v>3121</v>
      </c>
    </row>
    <row r="87" spans="49:49" x14ac:dyDescent="0.35">
      <c r="AW87" s="77" t="s">
        <v>3122</v>
      </c>
    </row>
    <row r="88" spans="49:49" x14ac:dyDescent="0.35">
      <c r="AW88" s="77" t="s">
        <v>3123</v>
      </c>
    </row>
    <row r="89" spans="49:49" x14ac:dyDescent="0.35">
      <c r="AW89" s="77" t="s">
        <v>3124</v>
      </c>
    </row>
    <row r="90" spans="49:49" x14ac:dyDescent="0.35">
      <c r="AW90" s="77" t="s">
        <v>3125</v>
      </c>
    </row>
    <row r="91" spans="49:49" x14ac:dyDescent="0.35">
      <c r="AW91" s="77" t="s">
        <v>3126</v>
      </c>
    </row>
    <row r="92" spans="49:49" x14ac:dyDescent="0.35">
      <c r="AW92" s="77" t="s">
        <v>3127</v>
      </c>
    </row>
    <row r="93" spans="49:49" x14ac:dyDescent="0.35">
      <c r="AW93" s="77" t="s">
        <v>3128</v>
      </c>
    </row>
    <row r="94" spans="49:49" x14ac:dyDescent="0.35">
      <c r="AW94" s="77" t="s">
        <v>3129</v>
      </c>
    </row>
    <row r="95" spans="49:49" x14ac:dyDescent="0.35">
      <c r="AW95" s="77" t="s">
        <v>3130</v>
      </c>
    </row>
    <row r="96" spans="49:49" x14ac:dyDescent="0.35">
      <c r="AW96" s="77" t="s">
        <v>3131</v>
      </c>
    </row>
    <row r="97" spans="49:49" x14ac:dyDescent="0.35">
      <c r="AW97" s="77" t="s">
        <v>3132</v>
      </c>
    </row>
    <row r="98" spans="49:49" x14ac:dyDescent="0.35">
      <c r="AW98" s="77" t="s">
        <v>3133</v>
      </c>
    </row>
    <row r="99" spans="49:49" x14ac:dyDescent="0.35">
      <c r="AW99" s="77" t="s">
        <v>3134</v>
      </c>
    </row>
    <row r="100" spans="49:49" x14ac:dyDescent="0.35">
      <c r="AW100" s="77" t="s">
        <v>3135</v>
      </c>
    </row>
    <row r="101" spans="49:49" x14ac:dyDescent="0.35">
      <c r="AW101" s="77" t="s">
        <v>3136</v>
      </c>
    </row>
    <row r="102" spans="49:49" x14ac:dyDescent="0.35">
      <c r="AW102" s="77" t="s">
        <v>3137</v>
      </c>
    </row>
    <row r="103" spans="49:49" x14ac:dyDescent="0.35">
      <c r="AW103" s="77" t="s">
        <v>3138</v>
      </c>
    </row>
    <row r="104" spans="49:49" x14ac:dyDescent="0.35">
      <c r="AW104" s="77" t="s">
        <v>3139</v>
      </c>
    </row>
    <row r="105" spans="49:49" x14ac:dyDescent="0.35">
      <c r="AW105" s="77" t="s">
        <v>3140</v>
      </c>
    </row>
    <row r="106" spans="49:49" x14ac:dyDescent="0.35">
      <c r="AW106" s="77" t="s">
        <v>3141</v>
      </c>
    </row>
    <row r="107" spans="49:49" x14ac:dyDescent="0.35">
      <c r="AW107" s="77" t="s">
        <v>3142</v>
      </c>
    </row>
    <row r="108" spans="49:49" x14ac:dyDescent="0.35">
      <c r="AW108" s="77" t="s">
        <v>3143</v>
      </c>
    </row>
    <row r="109" spans="49:49" x14ac:dyDescent="0.35">
      <c r="AW109" s="77" t="s">
        <v>3144</v>
      </c>
    </row>
    <row r="110" spans="49:49" x14ac:dyDescent="0.35">
      <c r="AW110" s="77" t="s">
        <v>3145</v>
      </c>
    </row>
    <row r="111" spans="49:49" x14ac:dyDescent="0.35">
      <c r="AW111" s="77" t="s">
        <v>3146</v>
      </c>
    </row>
    <row r="112" spans="49:49" x14ac:dyDescent="0.35">
      <c r="AW112" s="77" t="s">
        <v>3147</v>
      </c>
    </row>
    <row r="113" spans="49:49" x14ac:dyDescent="0.35">
      <c r="AW113" s="77" t="s">
        <v>3148</v>
      </c>
    </row>
    <row r="114" spans="49:49" x14ac:dyDescent="0.35">
      <c r="AW114" s="77" t="s">
        <v>3149</v>
      </c>
    </row>
    <row r="115" spans="49:49" x14ac:dyDescent="0.35">
      <c r="AW115" s="77" t="s">
        <v>3150</v>
      </c>
    </row>
    <row r="116" spans="49:49" x14ac:dyDescent="0.35">
      <c r="AW116" s="77" t="s">
        <v>3151</v>
      </c>
    </row>
    <row r="117" spans="49:49" x14ac:dyDescent="0.35">
      <c r="AW117" s="77" t="s">
        <v>3152</v>
      </c>
    </row>
    <row r="118" spans="49:49" x14ac:dyDescent="0.35">
      <c r="AW118" s="77" t="s">
        <v>3153</v>
      </c>
    </row>
    <row r="119" spans="49:49" x14ac:dyDescent="0.35">
      <c r="AW119" s="77" t="s">
        <v>3154</v>
      </c>
    </row>
    <row r="120" spans="49:49" x14ac:dyDescent="0.35">
      <c r="AW120" s="77" t="s">
        <v>3155</v>
      </c>
    </row>
    <row r="121" spans="49:49" x14ac:dyDescent="0.35">
      <c r="AW121" s="77" t="s">
        <v>3156</v>
      </c>
    </row>
    <row r="122" spans="49:49" x14ac:dyDescent="0.35">
      <c r="AW122" s="77" t="s">
        <v>3157</v>
      </c>
    </row>
    <row r="123" spans="49:49" x14ac:dyDescent="0.35">
      <c r="AW123" s="77" t="s">
        <v>3158</v>
      </c>
    </row>
    <row r="124" spans="49:49" x14ac:dyDescent="0.35">
      <c r="AW124" s="77" t="s">
        <v>3159</v>
      </c>
    </row>
    <row r="125" spans="49:49" x14ac:dyDescent="0.35">
      <c r="AW125" s="77" t="s">
        <v>3160</v>
      </c>
    </row>
    <row r="126" spans="49:49" x14ac:dyDescent="0.35">
      <c r="AW126" s="77" t="s">
        <v>3161</v>
      </c>
    </row>
    <row r="127" spans="49:49" x14ac:dyDescent="0.35">
      <c r="AW127" s="77" t="s">
        <v>3162</v>
      </c>
    </row>
    <row r="128" spans="49:49" x14ac:dyDescent="0.35">
      <c r="AW128" s="77" t="s">
        <v>3163</v>
      </c>
    </row>
    <row r="129" spans="49:49" x14ac:dyDescent="0.35">
      <c r="AW129" s="77" t="s">
        <v>3164</v>
      </c>
    </row>
    <row r="130" spans="49:49" x14ac:dyDescent="0.35">
      <c r="AW130" s="77" t="s">
        <v>3165</v>
      </c>
    </row>
    <row r="131" spans="49:49" x14ac:dyDescent="0.35">
      <c r="AW131" s="77" t="s">
        <v>3166</v>
      </c>
    </row>
    <row r="132" spans="49:49" x14ac:dyDescent="0.35">
      <c r="AW132" s="77" t="s">
        <v>3167</v>
      </c>
    </row>
    <row r="133" spans="49:49" x14ac:dyDescent="0.35">
      <c r="AW133" s="77" t="s">
        <v>3168</v>
      </c>
    </row>
    <row r="134" spans="49:49" x14ac:dyDescent="0.35">
      <c r="AW134" s="77" t="s">
        <v>3169</v>
      </c>
    </row>
    <row r="135" spans="49:49" x14ac:dyDescent="0.35">
      <c r="AW135" s="77" t="s">
        <v>3170</v>
      </c>
    </row>
    <row r="136" spans="49:49" x14ac:dyDescent="0.35">
      <c r="AW136" s="77" t="s">
        <v>3171</v>
      </c>
    </row>
    <row r="137" spans="49:49" x14ac:dyDescent="0.35">
      <c r="AW137" s="77" t="s">
        <v>3172</v>
      </c>
    </row>
    <row r="138" spans="49:49" x14ac:dyDescent="0.35">
      <c r="AW138" s="77" t="s">
        <v>3173</v>
      </c>
    </row>
    <row r="139" spans="49:49" x14ac:dyDescent="0.35">
      <c r="AW139" s="77" t="s">
        <v>3174</v>
      </c>
    </row>
    <row r="140" spans="49:49" x14ac:dyDescent="0.35">
      <c r="AW140" s="77" t="s">
        <v>3175</v>
      </c>
    </row>
    <row r="141" spans="49:49" x14ac:dyDescent="0.35">
      <c r="AW141" s="77" t="s">
        <v>3176</v>
      </c>
    </row>
    <row r="142" spans="49:49" x14ac:dyDescent="0.35">
      <c r="AW142" s="77" t="s">
        <v>3177</v>
      </c>
    </row>
    <row r="143" spans="49:49" x14ac:dyDescent="0.35">
      <c r="AW143" s="77" t="s">
        <v>3178</v>
      </c>
    </row>
    <row r="144" spans="49:49" x14ac:dyDescent="0.35">
      <c r="AW144" s="77" t="s">
        <v>3179</v>
      </c>
    </row>
    <row r="145" spans="49:49" x14ac:dyDescent="0.35">
      <c r="AW145" s="77" t="s">
        <v>3180</v>
      </c>
    </row>
    <row r="146" spans="49:49" x14ac:dyDescent="0.35">
      <c r="AW146" s="77" t="s">
        <v>3181</v>
      </c>
    </row>
    <row r="147" spans="49:49" x14ac:dyDescent="0.35">
      <c r="AW147" s="77" t="s">
        <v>3182</v>
      </c>
    </row>
    <row r="148" spans="49:49" x14ac:dyDescent="0.35">
      <c r="AW148" s="77" t="s">
        <v>3183</v>
      </c>
    </row>
    <row r="149" spans="49:49" x14ac:dyDescent="0.35">
      <c r="AW149" s="77" t="s">
        <v>3184</v>
      </c>
    </row>
    <row r="150" spans="49:49" x14ac:dyDescent="0.35">
      <c r="AW150" s="77" t="s">
        <v>3185</v>
      </c>
    </row>
    <row r="151" spans="49:49" x14ac:dyDescent="0.35">
      <c r="AW151" s="77" t="s">
        <v>3186</v>
      </c>
    </row>
    <row r="152" spans="49:49" x14ac:dyDescent="0.35">
      <c r="AW152" s="77" t="s">
        <v>3187</v>
      </c>
    </row>
    <row r="153" spans="49:49" x14ac:dyDescent="0.35">
      <c r="AW153" s="77" t="s">
        <v>3188</v>
      </c>
    </row>
    <row r="154" spans="49:49" x14ac:dyDescent="0.35">
      <c r="AW154" s="77" t="s">
        <v>3189</v>
      </c>
    </row>
    <row r="155" spans="49:49" x14ac:dyDescent="0.35">
      <c r="AW155" s="77" t="s">
        <v>3190</v>
      </c>
    </row>
    <row r="156" spans="49:49" x14ac:dyDescent="0.35">
      <c r="AW156" s="77" t="s">
        <v>3191</v>
      </c>
    </row>
    <row r="157" spans="49:49" x14ac:dyDescent="0.35">
      <c r="AW157" s="77" t="s">
        <v>3192</v>
      </c>
    </row>
    <row r="158" spans="49:49" x14ac:dyDescent="0.35">
      <c r="AW158" s="77" t="s">
        <v>3193</v>
      </c>
    </row>
    <row r="159" spans="49:49" x14ac:dyDescent="0.35">
      <c r="AW159" s="77" t="s">
        <v>3194</v>
      </c>
    </row>
    <row r="160" spans="49:49" x14ac:dyDescent="0.35">
      <c r="AW160" s="77" t="s">
        <v>3195</v>
      </c>
    </row>
    <row r="161" spans="49:49" x14ac:dyDescent="0.35">
      <c r="AW161" s="77" t="s">
        <v>3196</v>
      </c>
    </row>
    <row r="162" spans="49:49" x14ac:dyDescent="0.35">
      <c r="AW162" s="77" t="s">
        <v>3197</v>
      </c>
    </row>
    <row r="163" spans="49:49" x14ac:dyDescent="0.35">
      <c r="AW163" s="77" t="s">
        <v>3198</v>
      </c>
    </row>
    <row r="164" spans="49:49" x14ac:dyDescent="0.35">
      <c r="AW164" s="77" t="s">
        <v>3199</v>
      </c>
    </row>
    <row r="165" spans="49:49" x14ac:dyDescent="0.35">
      <c r="AW165" s="77" t="s">
        <v>3200</v>
      </c>
    </row>
    <row r="166" spans="49:49" x14ac:dyDescent="0.35">
      <c r="AW166" s="77" t="s">
        <v>3201</v>
      </c>
    </row>
    <row r="167" spans="49:49" x14ac:dyDescent="0.35">
      <c r="AW167" s="77" t="s">
        <v>3202</v>
      </c>
    </row>
    <row r="168" spans="49:49" x14ac:dyDescent="0.35">
      <c r="AW168" s="77" t="s">
        <v>3203</v>
      </c>
    </row>
    <row r="169" spans="49:49" x14ac:dyDescent="0.35">
      <c r="AW169" s="77" t="s">
        <v>3204</v>
      </c>
    </row>
    <row r="170" spans="49:49" x14ac:dyDescent="0.35">
      <c r="AW170" s="77" t="s">
        <v>3205</v>
      </c>
    </row>
    <row r="171" spans="49:49" x14ac:dyDescent="0.35">
      <c r="AW171" s="77" t="s">
        <v>3206</v>
      </c>
    </row>
    <row r="172" spans="49:49" x14ac:dyDescent="0.35">
      <c r="AW172" s="77" t="s">
        <v>3207</v>
      </c>
    </row>
    <row r="173" spans="49:49" x14ac:dyDescent="0.35">
      <c r="AW173" s="77" t="s">
        <v>3208</v>
      </c>
    </row>
    <row r="174" spans="49:49" x14ac:dyDescent="0.35">
      <c r="AW174" s="77" t="s">
        <v>3209</v>
      </c>
    </row>
    <row r="175" spans="49:49" x14ac:dyDescent="0.35">
      <c r="AW175" s="77" t="s">
        <v>3210</v>
      </c>
    </row>
    <row r="176" spans="49:49" x14ac:dyDescent="0.35">
      <c r="AW176" s="77" t="s">
        <v>3211</v>
      </c>
    </row>
    <row r="177" spans="49:49" x14ac:dyDescent="0.35">
      <c r="AW177" s="77" t="s">
        <v>3212</v>
      </c>
    </row>
    <row r="178" spans="49:49" x14ac:dyDescent="0.35">
      <c r="AW178" s="77" t="s">
        <v>3213</v>
      </c>
    </row>
    <row r="179" spans="49:49" x14ac:dyDescent="0.35">
      <c r="AW179" s="77" t="s">
        <v>3214</v>
      </c>
    </row>
    <row r="180" spans="49:49" x14ac:dyDescent="0.35">
      <c r="AW180" s="77" t="s">
        <v>3215</v>
      </c>
    </row>
    <row r="181" spans="49:49" x14ac:dyDescent="0.35">
      <c r="AW181" s="77" t="s">
        <v>3216</v>
      </c>
    </row>
    <row r="182" spans="49:49" x14ac:dyDescent="0.35">
      <c r="AW182" s="77" t="s">
        <v>3217</v>
      </c>
    </row>
    <row r="183" spans="49:49" x14ac:dyDescent="0.35">
      <c r="AW183" s="77" t="s">
        <v>3218</v>
      </c>
    </row>
    <row r="184" spans="49:49" x14ac:dyDescent="0.35">
      <c r="AW184" s="77" t="s">
        <v>3219</v>
      </c>
    </row>
    <row r="185" spans="49:49" x14ac:dyDescent="0.35">
      <c r="AW185" s="77" t="s">
        <v>3220</v>
      </c>
    </row>
    <row r="186" spans="49:49" x14ac:dyDescent="0.35">
      <c r="AW186" s="77" t="s">
        <v>3221</v>
      </c>
    </row>
    <row r="187" spans="49:49" x14ac:dyDescent="0.35">
      <c r="AW187" s="77" t="s">
        <v>3222</v>
      </c>
    </row>
    <row r="188" spans="49:49" x14ac:dyDescent="0.35">
      <c r="AW188" s="77" t="s">
        <v>3223</v>
      </c>
    </row>
    <row r="189" spans="49:49" x14ac:dyDescent="0.35">
      <c r="AW189" s="77" t="s">
        <v>3224</v>
      </c>
    </row>
    <row r="190" spans="49:49" x14ac:dyDescent="0.35">
      <c r="AW190" s="77" t="s">
        <v>3225</v>
      </c>
    </row>
    <row r="191" spans="49:49" x14ac:dyDescent="0.35">
      <c r="AW191" s="77" t="s">
        <v>3226</v>
      </c>
    </row>
    <row r="192" spans="49:49" x14ac:dyDescent="0.35">
      <c r="AW192" s="77" t="s">
        <v>3227</v>
      </c>
    </row>
    <row r="193" spans="49:49" x14ac:dyDescent="0.35">
      <c r="AW193" s="77" t="s">
        <v>3228</v>
      </c>
    </row>
    <row r="194" spans="49:49" x14ac:dyDescent="0.35">
      <c r="AW194" s="77" t="s">
        <v>3229</v>
      </c>
    </row>
    <row r="195" spans="49:49" x14ac:dyDescent="0.35">
      <c r="AW195" s="77" t="s">
        <v>3230</v>
      </c>
    </row>
    <row r="196" spans="49:49" x14ac:dyDescent="0.35">
      <c r="AW196" s="77" t="s">
        <v>3231</v>
      </c>
    </row>
    <row r="197" spans="49:49" x14ac:dyDescent="0.35">
      <c r="AW197" s="77" t="s">
        <v>3232</v>
      </c>
    </row>
    <row r="198" spans="49:49" x14ac:dyDescent="0.35">
      <c r="AW198" s="77" t="s">
        <v>3233</v>
      </c>
    </row>
    <row r="199" spans="49:49" x14ac:dyDescent="0.35">
      <c r="AW199" s="77" t="s">
        <v>3234</v>
      </c>
    </row>
    <row r="200" spans="49:49" x14ac:dyDescent="0.35">
      <c r="AW200" s="77" t="s">
        <v>3235</v>
      </c>
    </row>
    <row r="201" spans="49:49" x14ac:dyDescent="0.35">
      <c r="AW201" s="77" t="s">
        <v>3236</v>
      </c>
    </row>
    <row r="202" spans="49:49" x14ac:dyDescent="0.35">
      <c r="AW202" s="77" t="s">
        <v>3237</v>
      </c>
    </row>
    <row r="203" spans="49:49" x14ac:dyDescent="0.35">
      <c r="AW203" s="77" t="s">
        <v>3238</v>
      </c>
    </row>
    <row r="204" spans="49:49" x14ac:dyDescent="0.35">
      <c r="AW204" s="77" t="s">
        <v>3239</v>
      </c>
    </row>
    <row r="205" spans="49:49" x14ac:dyDescent="0.35">
      <c r="AW205" s="77" t="s">
        <v>3240</v>
      </c>
    </row>
    <row r="206" spans="49:49" x14ac:dyDescent="0.35">
      <c r="AW206" s="77" t="s">
        <v>3241</v>
      </c>
    </row>
    <row r="207" spans="49:49" x14ac:dyDescent="0.35">
      <c r="AW207" s="77" t="s">
        <v>3242</v>
      </c>
    </row>
    <row r="208" spans="49:49" x14ac:dyDescent="0.35">
      <c r="AW208" s="77" t="s">
        <v>3243</v>
      </c>
    </row>
    <row r="209" spans="49:49" x14ac:dyDescent="0.35">
      <c r="AW209" s="77" t="s">
        <v>3244</v>
      </c>
    </row>
    <row r="210" spans="49:49" x14ac:dyDescent="0.35">
      <c r="AW210" s="77" t="s">
        <v>3245</v>
      </c>
    </row>
    <row r="211" spans="49:49" x14ac:dyDescent="0.35">
      <c r="AW211" s="77" t="s">
        <v>3246</v>
      </c>
    </row>
    <row r="212" spans="49:49" x14ac:dyDescent="0.35">
      <c r="AW212" s="77" t="s">
        <v>3247</v>
      </c>
    </row>
    <row r="213" spans="49:49" x14ac:dyDescent="0.35">
      <c r="AW213" s="77" t="s">
        <v>3248</v>
      </c>
    </row>
    <row r="214" spans="49:49" x14ac:dyDescent="0.35">
      <c r="AW214" s="77" t="s">
        <v>3249</v>
      </c>
    </row>
    <row r="215" spans="49:49" x14ac:dyDescent="0.35">
      <c r="AW215" s="77" t="s">
        <v>3250</v>
      </c>
    </row>
    <row r="216" spans="49:49" x14ac:dyDescent="0.35">
      <c r="AW216" s="77" t="s">
        <v>3251</v>
      </c>
    </row>
    <row r="217" spans="49:49" x14ac:dyDescent="0.35">
      <c r="AW217" s="77" t="s">
        <v>3252</v>
      </c>
    </row>
    <row r="218" spans="49:49" x14ac:dyDescent="0.35">
      <c r="AW218" s="77" t="s">
        <v>3253</v>
      </c>
    </row>
    <row r="219" spans="49:49" x14ac:dyDescent="0.35">
      <c r="AW219" s="77" t="s">
        <v>3254</v>
      </c>
    </row>
    <row r="220" spans="49:49" x14ac:dyDescent="0.35">
      <c r="AW220" s="77" t="s">
        <v>3255</v>
      </c>
    </row>
    <row r="221" spans="49:49" x14ac:dyDescent="0.35">
      <c r="AW221" s="77" t="s">
        <v>3256</v>
      </c>
    </row>
    <row r="222" spans="49:49" x14ac:dyDescent="0.35">
      <c r="AW222" s="77" t="s">
        <v>3257</v>
      </c>
    </row>
    <row r="223" spans="49:49" x14ac:dyDescent="0.35">
      <c r="AW223" s="77" t="s">
        <v>3258</v>
      </c>
    </row>
    <row r="224" spans="49:49" x14ac:dyDescent="0.35">
      <c r="AW224" s="77" t="s">
        <v>3259</v>
      </c>
    </row>
    <row r="225" spans="49:49" x14ac:dyDescent="0.35">
      <c r="AW225" s="77" t="s">
        <v>3260</v>
      </c>
    </row>
    <row r="226" spans="49:49" x14ac:dyDescent="0.35">
      <c r="AW226" s="77" t="s">
        <v>3261</v>
      </c>
    </row>
    <row r="227" spans="49:49" x14ac:dyDescent="0.35">
      <c r="AW227" s="77" t="s">
        <v>3262</v>
      </c>
    </row>
    <row r="228" spans="49:49" x14ac:dyDescent="0.35">
      <c r="AW228" s="77" t="s">
        <v>3263</v>
      </c>
    </row>
    <row r="229" spans="49:49" x14ac:dyDescent="0.35">
      <c r="AW229" s="77" t="s">
        <v>3264</v>
      </c>
    </row>
    <row r="230" spans="49:49" x14ac:dyDescent="0.35">
      <c r="AW230" s="77" t="s">
        <v>3265</v>
      </c>
    </row>
    <row r="231" spans="49:49" x14ac:dyDescent="0.35">
      <c r="AW231" s="78" t="s">
        <v>3266</v>
      </c>
    </row>
  </sheetData>
  <pageMargins left="0.7" right="0.7" top="0.75" bottom="0.75" header="0.3" footer="0.3"/>
  <pageSetup paperSize="9" orientation="portrait" r:id="rId1"/>
  <headerFooter>
    <oddHeader>&amp;R&amp;"Calibri"&amp;10&amp;K000000Internal Use&amp;1#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3706E-097D-4E90-A1BD-AC7B64D2FD9A}">
  <sheetPr codeName="Sheet4"/>
  <dimension ref="A1:AO44"/>
  <sheetViews>
    <sheetView topLeftCell="AB1" zoomScaleNormal="100" workbookViewId="0">
      <selection activeCell="F41" sqref="F41:F76"/>
    </sheetView>
  </sheetViews>
  <sheetFormatPr defaultRowHeight="14.5" x14ac:dyDescent="0.35"/>
  <cols>
    <col min="1" max="1" width="78.7265625" bestFit="1" customWidth="1"/>
    <col min="2" max="2" width="28.7265625" bestFit="1" customWidth="1"/>
    <col min="3" max="3" width="22.26953125" bestFit="1" customWidth="1"/>
    <col min="4" max="4" width="13.81640625" bestFit="1" customWidth="1"/>
    <col min="5" max="6" width="27.1796875" bestFit="1" customWidth="1"/>
    <col min="7" max="7" width="11.26953125" bestFit="1" customWidth="1"/>
    <col min="18" max="18" width="38.453125" bestFit="1" customWidth="1"/>
    <col min="26" max="26" width="22.81640625" bestFit="1" customWidth="1"/>
    <col min="28" max="28" width="92.26953125" bestFit="1" customWidth="1"/>
    <col min="31" max="31" width="25.7265625" bestFit="1" customWidth="1"/>
    <col min="32" max="32" width="29.7265625" bestFit="1" customWidth="1"/>
    <col min="40" max="41" width="15.26953125" bestFit="1" customWidth="1"/>
  </cols>
  <sheetData>
    <row r="1" spans="1:41" ht="15" thickBot="1" x14ac:dyDescent="0.4">
      <c r="A1">
        <f>B44</f>
        <v>0</v>
      </c>
      <c r="B1" cm="1">
        <f t="array" ref="B1">TRANSPOSE(
    _xlfn.FILTERXML(
        "&lt;t&gt;&lt;s&gt;" &amp;
        SUBSTITUTE(
            A1,
            ";",
            "&lt;/s&gt;&lt;s&gt;"
        ) &amp; "&lt;/s&gt;&lt;/t&gt;",
        "//s"
    )
)</f>
        <v>0</v>
      </c>
      <c r="AN1">
        <f>'RFA Backend'!C46</f>
        <v>0</v>
      </c>
      <c r="AO1" cm="1">
        <f t="array" ref="AO1">TRANSPOSE(
    _xlfn.FILTERXML(
        "&lt;t&gt;&lt;s&gt;" &amp;
        SUBSTITUTE(
            AN1,
            " ",
            "&lt;/s&gt;&lt;s&gt;"
        ) &amp; "&lt;/s&gt;&lt;/t&gt;",
        "//s"
    )
)</f>
        <v>0</v>
      </c>
    </row>
    <row r="2" spans="1:41" ht="15" thickTop="1" x14ac:dyDescent="0.35">
      <c r="A2" t="s">
        <v>3310</v>
      </c>
      <c r="B2" s="39">
        <v>0</v>
      </c>
      <c r="C2" s="40"/>
    </row>
    <row r="3" spans="1:41" ht="15" thickBot="1" x14ac:dyDescent="0.4">
      <c r="B3" s="38"/>
      <c r="C3" s="41"/>
      <c r="AO3" t="str">
        <f>+LEFT(AO1,1)&amp;"."&amp;AP1&amp;"@esm.europa.eu"</f>
        <v>0.@esm.europa.eu</v>
      </c>
    </row>
    <row r="4" spans="1:41" ht="15.5" thickTop="1" thickBot="1" x14ac:dyDescent="0.4">
      <c r="B4" s="39">
        <v>0</v>
      </c>
      <c r="C4" s="42" cm="1">
        <f t="array" ref="C4">TRANSPOSE(
    _xlfn.FILTERXML(
        "&lt;t&gt;&lt;s&gt;" &amp;
        SUBSTITUTE(
            B4,
            " ",
            "&lt;/s&gt;&lt;s&gt;"
        ) &amp; "&lt;/s&gt;&lt;/t&gt;",
        "//s"
    )
)</f>
        <v>0</v>
      </c>
      <c r="R4" t="str">
        <f>IF($B$4="David Blazquez vila","d.blazquezvila@esm.europa.eu",IF($B$4="Maria Luisa Martos","m.luisamartos@esm.europa.eu",IF($B$4="Alexander den Ruijter","a.denruijter@esm.europa.eu",$AE$5)))</f>
        <v>0.@esm.europa.eu</v>
      </c>
      <c r="AO4" t="str">
        <f>IF(AO1=0," ",AO3)</f>
        <v xml:space="preserve"> </v>
      </c>
    </row>
    <row r="5" spans="1:41" ht="15" thickTop="1" x14ac:dyDescent="0.35">
      <c r="B5" s="40"/>
      <c r="C5" t="e" cm="1">
        <f t="array" ref="C5">TRANSPOSE(
    _xlfn.FILTERXML(
        "&lt;t&gt;&lt;s&gt;" &amp;
        SUBSTITUTE(
            B5,
            " ",
            "&lt;/s&gt;&lt;s&gt;"
        ) &amp; "&lt;/s&gt;&lt;/t&gt;",
        "//s"
    )
)</f>
        <v>#VALUE!</v>
      </c>
      <c r="R5" t="e">
        <f t="shared" ref="R5:R39" si="0">+LEFT(C5,1)&amp;"."&amp;D5&amp;"@esm.europa.eu"</f>
        <v>#VALUE!</v>
      </c>
      <c r="AE5" t="str">
        <f>+LEFT(C4,1)&amp;"."&amp;D4&amp;"@esm.europa.eu"</f>
        <v>0.@esm.europa.eu</v>
      </c>
      <c r="AF5" t="str">
        <f>IF(B4="David Blazquez Vila","d.blazquezvila@esm.europa.eu",AE5)</f>
        <v>0.@esm.europa.eu</v>
      </c>
      <c r="AG5" t="str">
        <f>IF($B$4="David Blazquez vila","D.Blazquez@esm.europa.eu",IF($B$4="Maria Luisa Martos","m.luisamartos@esm.europa.eu",IF($B$4="Alexander den Ruijter","a.denruijter@esm.europa.eu",$AE$5)))</f>
        <v>0.@esm.europa.eu</v>
      </c>
    </row>
    <row r="6" spans="1:41" x14ac:dyDescent="0.35">
      <c r="C6" t="e" cm="1">
        <f t="array" ref="C6">TRANSPOSE(
    _xlfn.FILTERXML(
        "&lt;t&gt;&lt;s&gt;" &amp;
        SUBSTITUTE(
            B6,
            " ",
            "&lt;/s&gt;&lt;s&gt;"
        ) &amp; "&lt;/s&gt;&lt;/t&gt;",
        "//s"
    )
)</f>
        <v>#VALUE!</v>
      </c>
      <c r="R6" t="e">
        <f t="shared" si="0"/>
        <v>#VALUE!</v>
      </c>
    </row>
    <row r="7" spans="1:41" x14ac:dyDescent="0.35">
      <c r="C7" t="e" cm="1">
        <f t="array" ref="C7">TRANSPOSE(
    _xlfn.FILTERXML(
        "&lt;t&gt;&lt;s&gt;" &amp;
        SUBSTITUTE(
            B7,
            " ",
            "&lt;/s&gt;&lt;s&gt;"
        ) &amp; "&lt;/s&gt;&lt;/t&gt;",
        "//s"
    )
)</f>
        <v>#VALUE!</v>
      </c>
      <c r="R7" t="e">
        <f t="shared" si="0"/>
        <v>#VALUE!</v>
      </c>
    </row>
    <row r="8" spans="1:41" x14ac:dyDescent="0.35">
      <c r="C8" t="e" cm="1">
        <f t="array" ref="C8">TRANSPOSE(
    _xlfn.FILTERXML(
        "&lt;t&gt;&lt;s&gt;" &amp;
        SUBSTITUTE(
            B8,
            " ",
            "&lt;/s&gt;&lt;s&gt;"
        ) &amp; "&lt;/s&gt;&lt;/t&gt;",
        "//s"
    )
)</f>
        <v>#VALUE!</v>
      </c>
      <c r="R8" t="e">
        <f t="shared" si="0"/>
        <v>#VALUE!</v>
      </c>
    </row>
    <row r="9" spans="1:41" x14ac:dyDescent="0.35">
      <c r="C9" t="e" cm="1">
        <f t="array" ref="C9">TRANSPOSE(
    _xlfn.FILTERXML(
        "&lt;t&gt;&lt;s&gt;" &amp;
        SUBSTITUTE(
            B9,
            " ",
            "&lt;/s&gt;&lt;s&gt;"
        ) &amp; "&lt;/s&gt;&lt;/t&gt;",
        "//s"
    )
)</f>
        <v>#VALUE!</v>
      </c>
      <c r="R9" t="e">
        <f t="shared" si="0"/>
        <v>#VALUE!</v>
      </c>
    </row>
    <row r="10" spans="1:41" x14ac:dyDescent="0.35">
      <c r="C10" t="e" cm="1">
        <f t="array" ref="C10">TRANSPOSE(
    _xlfn.FILTERXML(
        "&lt;t&gt;&lt;s&gt;" &amp;
        SUBSTITUTE(
            B10,
            " ",
            "&lt;/s&gt;&lt;s&gt;"
        ) &amp; "&lt;/s&gt;&lt;/t&gt;",
        "//s"
    )
)</f>
        <v>#VALUE!</v>
      </c>
      <c r="R10" t="e">
        <f t="shared" si="0"/>
        <v>#VALUE!</v>
      </c>
    </row>
    <row r="11" spans="1:41" x14ac:dyDescent="0.35">
      <c r="C11" t="e" cm="1">
        <f t="array" ref="C11">TRANSPOSE(
    _xlfn.FILTERXML(
        "&lt;t&gt;&lt;s&gt;" &amp;
        SUBSTITUTE(
            B11,
            " ",
            "&lt;/s&gt;&lt;s&gt;"
        ) &amp; "&lt;/s&gt;&lt;/t&gt;",
        "//s"
    )
)</f>
        <v>#VALUE!</v>
      </c>
      <c r="R11" t="e">
        <f t="shared" si="0"/>
        <v>#VALUE!</v>
      </c>
    </row>
    <row r="12" spans="1:41" x14ac:dyDescent="0.35">
      <c r="C12" t="e" cm="1">
        <f t="array" ref="C12">TRANSPOSE(
    _xlfn.FILTERXML(
        "&lt;t&gt;&lt;s&gt;" &amp;
        SUBSTITUTE(
            B12,
            " ",
            "&lt;/s&gt;&lt;s&gt;"
        ) &amp; "&lt;/s&gt;&lt;/t&gt;",
        "//s"
    )
)</f>
        <v>#VALUE!</v>
      </c>
      <c r="R12" t="e">
        <f t="shared" si="0"/>
        <v>#VALUE!</v>
      </c>
    </row>
    <row r="13" spans="1:41" x14ac:dyDescent="0.35">
      <c r="C13" t="e" cm="1">
        <f t="array" ref="C13">TRANSPOSE(
    _xlfn.FILTERXML(
        "&lt;t&gt;&lt;s&gt;" &amp;
        SUBSTITUTE(
            B13,
            " ",
            "&lt;/s&gt;&lt;s&gt;"
        ) &amp; "&lt;/s&gt;&lt;/t&gt;",
        "//s"
    )
)</f>
        <v>#VALUE!</v>
      </c>
      <c r="R13" t="e">
        <f t="shared" si="0"/>
        <v>#VALUE!</v>
      </c>
    </row>
    <row r="14" spans="1:41" x14ac:dyDescent="0.35">
      <c r="C14" t="e" cm="1">
        <f t="array" ref="C14">TRANSPOSE(
    _xlfn.FILTERXML(
        "&lt;t&gt;&lt;s&gt;" &amp;
        SUBSTITUTE(
            B14,
            " ",
            "&lt;/s&gt;&lt;s&gt;"
        ) &amp; "&lt;/s&gt;&lt;/t&gt;",
        "//s"
    )
)</f>
        <v>#VALUE!</v>
      </c>
      <c r="R14" t="e">
        <f t="shared" si="0"/>
        <v>#VALUE!</v>
      </c>
    </row>
    <row r="15" spans="1:41" x14ac:dyDescent="0.35">
      <c r="C15" t="e" cm="1">
        <f t="array" ref="C15">TRANSPOSE(
    _xlfn.FILTERXML(
        "&lt;t&gt;&lt;s&gt;" &amp;
        SUBSTITUTE(
            B15,
            " ",
            "&lt;/s&gt;&lt;s&gt;"
        ) &amp; "&lt;/s&gt;&lt;/t&gt;",
        "//s"
    )
)</f>
        <v>#VALUE!</v>
      </c>
      <c r="R15" t="e">
        <f t="shared" si="0"/>
        <v>#VALUE!</v>
      </c>
    </row>
    <row r="16" spans="1:41" x14ac:dyDescent="0.35">
      <c r="C16" t="e" cm="1">
        <f t="array" ref="C16">TRANSPOSE(
    _xlfn.FILTERXML(
        "&lt;t&gt;&lt;s&gt;" &amp;
        SUBSTITUTE(
            B16,
            " ",
            "&lt;/s&gt;&lt;s&gt;"
        ) &amp; "&lt;/s&gt;&lt;/t&gt;",
        "//s"
    )
)</f>
        <v>#VALUE!</v>
      </c>
      <c r="R16" t="e">
        <f t="shared" si="0"/>
        <v>#VALUE!</v>
      </c>
    </row>
    <row r="17" spans="3:28" x14ac:dyDescent="0.35">
      <c r="C17" t="e" cm="1">
        <f t="array" ref="C17">TRANSPOSE(
    _xlfn.FILTERXML(
        "&lt;t&gt;&lt;s&gt;" &amp;
        SUBSTITUTE(
            B17,
            " ",
            "&lt;/s&gt;&lt;s&gt;"
        ) &amp; "&lt;/s&gt;&lt;/t&gt;",
        "//s"
    )
)</f>
        <v>#VALUE!</v>
      </c>
      <c r="R17" t="e">
        <f t="shared" si="0"/>
        <v>#VALUE!</v>
      </c>
    </row>
    <row r="18" spans="3:28" x14ac:dyDescent="0.35">
      <c r="C18" t="e" cm="1">
        <f t="array" ref="C18">TRANSPOSE(
    _xlfn.FILTERXML(
        "&lt;t&gt;&lt;s&gt;" &amp;
        SUBSTITUTE(
            B18,
            " ",
            "&lt;/s&gt;&lt;s&gt;"
        ) &amp; "&lt;/s&gt;&lt;/t&gt;",
        "//s"
    )
)</f>
        <v>#VALUE!</v>
      </c>
      <c r="R18" t="e">
        <f t="shared" si="0"/>
        <v>#VALUE!</v>
      </c>
    </row>
    <row r="19" spans="3:28" x14ac:dyDescent="0.35">
      <c r="C19" t="e" cm="1">
        <f t="array" ref="C19">TRANSPOSE(
    _xlfn.FILTERXML(
        "&lt;t&gt;&lt;s&gt;" &amp;
        SUBSTITUTE(
            B19,
            " ",
            "&lt;/s&gt;&lt;s&gt;"
        ) &amp; "&lt;/s&gt;&lt;/t&gt;",
        "//s"
    )
)</f>
        <v>#VALUE!</v>
      </c>
      <c r="R19" t="e">
        <f t="shared" si="0"/>
        <v>#VALUE!</v>
      </c>
    </row>
    <row r="20" spans="3:28" x14ac:dyDescent="0.35">
      <c r="C20" t="e" cm="1">
        <f t="array" ref="C20">TRANSPOSE(
    _xlfn.FILTERXML(
        "&lt;t&gt;&lt;s&gt;" &amp;
        SUBSTITUTE(
            B20,
            " ",
            "&lt;/s&gt;&lt;s&gt;"
        ) &amp; "&lt;/s&gt;&lt;/t&gt;",
        "//s"
    )
)</f>
        <v>#VALUE!</v>
      </c>
      <c r="R20" t="e">
        <f t="shared" si="0"/>
        <v>#VALUE!</v>
      </c>
      <c r="AB20" t="s">
        <v>2960</v>
      </c>
    </row>
    <row r="21" spans="3:28" x14ac:dyDescent="0.35">
      <c r="C21" t="e" cm="1">
        <f t="array" ref="C21">TRANSPOSE(
    _xlfn.FILTERXML(
        "&lt;t&gt;&lt;s&gt;" &amp;
        SUBSTITUTE(
            B21,
            " ",
            "&lt;/s&gt;&lt;s&gt;"
        ) &amp; "&lt;/s&gt;&lt;/t&gt;",
        "//s"
    )
)</f>
        <v>#VALUE!</v>
      </c>
      <c r="R21" t="e">
        <f t="shared" si="0"/>
        <v>#VALUE!</v>
      </c>
      <c r="AA21">
        <v>16</v>
      </c>
      <c r="AB21" s="12" t="s">
        <v>2987</v>
      </c>
    </row>
    <row r="22" spans="3:28" x14ac:dyDescent="0.35">
      <c r="C22" t="e" cm="1">
        <f t="array" ref="C22">TRANSPOSE(
    _xlfn.FILTERXML(
        "&lt;t&gt;&lt;s&gt;" &amp;
        SUBSTITUTE(
            B22,
            " ",
            "&lt;/s&gt;&lt;s&gt;"
        ) &amp; "&lt;/s&gt;&lt;/t&gt;",
        "//s"
    )
)</f>
        <v>#VALUE!</v>
      </c>
      <c r="R22" t="e">
        <f t="shared" si="0"/>
        <v>#VALUE!</v>
      </c>
      <c r="AA22">
        <v>0</v>
      </c>
      <c r="AB22" t="s">
        <v>2984</v>
      </c>
    </row>
    <row r="23" spans="3:28" x14ac:dyDescent="0.35">
      <c r="C23" t="e" cm="1">
        <f t="array" ref="C23">TRANSPOSE(
    _xlfn.FILTERXML(
        "&lt;t&gt;&lt;s&gt;" &amp;
        SUBSTITUTE(
            B23,
            " ",
            "&lt;/s&gt;&lt;s&gt;"
        ) &amp; "&lt;/s&gt;&lt;/t&gt;",
        "//s"
    )
)</f>
        <v>#VALUE!</v>
      </c>
      <c r="R23" t="e">
        <f t="shared" si="0"/>
        <v>#VALUE!</v>
      </c>
      <c r="Z23" s="17" t="s">
        <v>2976</v>
      </c>
      <c r="AA23">
        <v>1</v>
      </c>
      <c r="AB23" s="15" t="s">
        <v>2985</v>
      </c>
    </row>
    <row r="24" spans="3:28" x14ac:dyDescent="0.35">
      <c r="C24" t="e" cm="1">
        <f t="array" ref="C24">TRANSPOSE(
    _xlfn.FILTERXML(
        "&lt;t&gt;&lt;s&gt;" &amp;
        SUBSTITUTE(
            B24,
            " ",
            "&lt;/s&gt;&lt;s&gt;"
        ) &amp; "&lt;/s&gt;&lt;/t&gt;",
        "//s"
    )
)</f>
        <v>#VALUE!</v>
      </c>
      <c r="R24" t="e">
        <f t="shared" si="0"/>
        <v>#VALUE!</v>
      </c>
      <c r="AA24">
        <v>2</v>
      </c>
      <c r="AB24" s="12" t="s">
        <v>2986</v>
      </c>
    </row>
    <row r="25" spans="3:28" x14ac:dyDescent="0.35">
      <c r="C25" t="e" cm="1">
        <f t="array" ref="C25">TRANSPOSE(
    _xlfn.FILTERXML(
        "&lt;t&gt;&lt;s&gt;" &amp;
        SUBSTITUTE(
            B25,
            " ",
            "&lt;/s&gt;&lt;s&gt;"
        ) &amp; "&lt;/s&gt;&lt;/t&gt;",
        "//s"
    )
)</f>
        <v>#VALUE!</v>
      </c>
      <c r="R25" t="e">
        <f t="shared" si="0"/>
        <v>#VALUE!</v>
      </c>
      <c r="Z25" t="str">
        <f>IF('Request for approval'!D92="Yes",'Email address'!$Z$23," ")</f>
        <v xml:space="preserve"> </v>
      </c>
      <c r="AA25">
        <v>3</v>
      </c>
      <c r="AB25" t="s">
        <v>2961</v>
      </c>
    </row>
    <row r="26" spans="3:28" x14ac:dyDescent="0.35">
      <c r="C26" t="e" cm="1">
        <f t="array" ref="C26">TRANSPOSE(
    _xlfn.FILTERXML(
        "&lt;t&gt;&lt;s&gt;" &amp;
        SUBSTITUTE(
            B26,
            " ",
            "&lt;/s&gt;&lt;s&gt;"
        ) &amp; "&lt;/s&gt;&lt;/t&gt;",
        "//s"
    )
)</f>
        <v>#VALUE!</v>
      </c>
      <c r="R26" t="e">
        <f t="shared" si="0"/>
        <v>#VALUE!</v>
      </c>
      <c r="AA26">
        <v>4</v>
      </c>
      <c r="AB26" t="s">
        <v>2962</v>
      </c>
    </row>
    <row r="27" spans="3:28" x14ac:dyDescent="0.35">
      <c r="C27" t="e" cm="1">
        <f t="array" ref="C27">TRANSPOSE(
    _xlfn.FILTERXML(
        "&lt;t&gt;&lt;s&gt;" &amp;
        SUBSTITUTE(
            B27,
            " ",
            "&lt;/s&gt;&lt;s&gt;"
        ) &amp; "&lt;/s&gt;&lt;/t&gt;",
        "//s"
    )
)</f>
        <v>#VALUE!</v>
      </c>
      <c r="R27" t="e">
        <f t="shared" si="0"/>
        <v>#VALUE!</v>
      </c>
      <c r="AA27">
        <v>5</v>
      </c>
      <c r="AB27" s="12" t="s">
        <v>2963</v>
      </c>
    </row>
    <row r="28" spans="3:28" x14ac:dyDescent="0.35">
      <c r="C28" t="e" cm="1">
        <f t="array" ref="C28">TRANSPOSE(
    _xlfn.FILTERXML(
        "&lt;t&gt;&lt;s&gt;" &amp;
        SUBSTITUTE(
            B28,
            " ",
            "&lt;/s&gt;&lt;s&gt;"
        ) &amp; "&lt;/s&gt;&lt;/t&gt;",
        "//s"
    )
)</f>
        <v>#VALUE!</v>
      </c>
      <c r="R28" t="e">
        <f t="shared" si="0"/>
        <v>#VALUE!</v>
      </c>
      <c r="AA28">
        <v>6</v>
      </c>
      <c r="AB28" t="s">
        <v>2964</v>
      </c>
    </row>
    <row r="29" spans="3:28" x14ac:dyDescent="0.35">
      <c r="C29" t="e" cm="1">
        <f t="array" ref="C29">TRANSPOSE(
    _xlfn.FILTERXML(
        "&lt;t&gt;&lt;s&gt;" &amp;
        SUBSTITUTE(
            B29,
            " ",
            "&lt;/s&gt;&lt;s&gt;"
        ) &amp; "&lt;/s&gt;&lt;/t&gt;",
        "//s"
    )
)</f>
        <v>#VALUE!</v>
      </c>
      <c r="R29" t="e">
        <f t="shared" si="0"/>
        <v>#VALUE!</v>
      </c>
      <c r="AA29">
        <v>7</v>
      </c>
      <c r="AB29" t="s">
        <v>2965</v>
      </c>
    </row>
    <row r="30" spans="3:28" x14ac:dyDescent="0.35">
      <c r="C30" t="e" cm="1">
        <f t="array" ref="C30">TRANSPOSE(
    _xlfn.FILTERXML(
        "&lt;t&gt;&lt;s&gt;" &amp;
        SUBSTITUTE(
            B30,
            " ",
            "&lt;/s&gt;&lt;s&gt;"
        ) &amp; "&lt;/s&gt;&lt;/t&gt;",
        "//s"
    )
)</f>
        <v>#VALUE!</v>
      </c>
      <c r="R30" t="e">
        <f t="shared" si="0"/>
        <v>#VALUE!</v>
      </c>
      <c r="AA30">
        <v>8</v>
      </c>
      <c r="AB30" t="s">
        <v>2966</v>
      </c>
    </row>
    <row r="31" spans="3:28" x14ac:dyDescent="0.35">
      <c r="C31" t="e" cm="1">
        <f t="array" ref="C31">TRANSPOSE(
    _xlfn.FILTERXML(
        "&lt;t&gt;&lt;s&gt;" &amp;
        SUBSTITUTE(
            B31,
            " ",
            "&lt;/s&gt;&lt;s&gt;"
        ) &amp; "&lt;/s&gt;&lt;/t&gt;",
        "//s"
    )
)</f>
        <v>#VALUE!</v>
      </c>
      <c r="R31" t="e">
        <f t="shared" si="0"/>
        <v>#VALUE!</v>
      </c>
    </row>
    <row r="32" spans="3:28" x14ac:dyDescent="0.35">
      <c r="C32" t="e" cm="1">
        <f t="array" ref="C32">TRANSPOSE(
    _xlfn.FILTERXML(
        "&lt;t&gt;&lt;s&gt;" &amp;
        SUBSTITUTE(
            B32,
            " ",
            "&lt;/s&gt;&lt;s&gt;"
        ) &amp; "&lt;/s&gt;&lt;/t&gt;",
        "//s"
    )
)</f>
        <v>#VALUE!</v>
      </c>
      <c r="R32" t="e">
        <f t="shared" si="0"/>
        <v>#VALUE!</v>
      </c>
      <c r="AA32">
        <v>9</v>
      </c>
      <c r="AB32" t="s">
        <v>2967</v>
      </c>
    </row>
    <row r="33" spans="2:28" x14ac:dyDescent="0.35">
      <c r="C33" t="e" cm="1">
        <f t="array" ref="C33">TRANSPOSE(
    _xlfn.FILTERXML(
        "&lt;t&gt;&lt;s&gt;" &amp;
        SUBSTITUTE(
            B33,
            " ",
            "&lt;/s&gt;&lt;s&gt;"
        ) &amp; "&lt;/s&gt;&lt;/t&gt;",
        "//s"
    )
)</f>
        <v>#VALUE!</v>
      </c>
      <c r="R33" t="e">
        <f t="shared" si="0"/>
        <v>#VALUE!</v>
      </c>
      <c r="AA33">
        <v>10</v>
      </c>
      <c r="AB33" t="s">
        <v>2968</v>
      </c>
    </row>
    <row r="34" spans="2:28" x14ac:dyDescent="0.35">
      <c r="C34" t="e" cm="1">
        <f t="array" ref="C34">TRANSPOSE(
    _xlfn.FILTERXML(
        "&lt;t&gt;&lt;s&gt;" &amp;
        SUBSTITUTE(
            B34,
            " ",
            "&lt;/s&gt;&lt;s&gt;"
        ) &amp; "&lt;/s&gt;&lt;/t&gt;",
        "//s"
    )
)</f>
        <v>#VALUE!</v>
      </c>
      <c r="R34" t="e">
        <f t="shared" si="0"/>
        <v>#VALUE!</v>
      </c>
      <c r="AA34">
        <v>11</v>
      </c>
      <c r="AB34" t="s">
        <v>2969</v>
      </c>
    </row>
    <row r="35" spans="2:28" x14ac:dyDescent="0.35">
      <c r="C35" t="e" cm="1">
        <f t="array" ref="C35">TRANSPOSE(
    _xlfn.FILTERXML(
        "&lt;t&gt;&lt;s&gt;" &amp;
        SUBSTITUTE(
            B35,
            " ",
            "&lt;/s&gt;&lt;s&gt;"
        ) &amp; "&lt;/s&gt;&lt;/t&gt;",
        "//s"
    )
)</f>
        <v>#VALUE!</v>
      </c>
      <c r="R35" t="e">
        <f t="shared" si="0"/>
        <v>#VALUE!</v>
      </c>
      <c r="AA35">
        <v>12</v>
      </c>
      <c r="AB35" t="s">
        <v>2970</v>
      </c>
    </row>
    <row r="36" spans="2:28" x14ac:dyDescent="0.35">
      <c r="C36" t="e" cm="1">
        <f t="array" ref="C36">TRANSPOSE(
    _xlfn.FILTERXML(
        "&lt;t&gt;&lt;s&gt;" &amp;
        SUBSTITUTE(
            B36,
            " ",
            "&lt;/s&gt;&lt;s&gt;"
        ) &amp; "&lt;/s&gt;&lt;/t&gt;",
        "//s"
    )
)</f>
        <v>#VALUE!</v>
      </c>
      <c r="R36" t="e">
        <f t="shared" si="0"/>
        <v>#VALUE!</v>
      </c>
      <c r="AA36">
        <v>13</v>
      </c>
      <c r="AB36" t="s">
        <v>2971</v>
      </c>
    </row>
    <row r="37" spans="2:28" x14ac:dyDescent="0.35">
      <c r="C37" t="e" cm="1">
        <f t="array" ref="C37">TRANSPOSE(
    _xlfn.FILTERXML(
        "&lt;t&gt;&lt;s&gt;" &amp;
        SUBSTITUTE(
            B37,
            " ",
            "&lt;/s&gt;&lt;s&gt;"
        ) &amp; "&lt;/s&gt;&lt;/t&gt;",
        "//s"
    )
)</f>
        <v>#VALUE!</v>
      </c>
      <c r="R37" t="e">
        <f t="shared" si="0"/>
        <v>#VALUE!</v>
      </c>
      <c r="AA37">
        <v>14</v>
      </c>
      <c r="AB37" t="s">
        <v>2972</v>
      </c>
    </row>
    <row r="38" spans="2:28" x14ac:dyDescent="0.35">
      <c r="C38" t="e" cm="1">
        <f t="array" ref="C38">TRANSPOSE(
    _xlfn.FILTERXML(
        "&lt;t&gt;&lt;s&gt;" &amp;
        SUBSTITUTE(
            B38,
            " ",
            "&lt;/s&gt;&lt;s&gt;"
        ) &amp; "&lt;/s&gt;&lt;/t&gt;",
        "//s"
    )
)</f>
        <v>#VALUE!</v>
      </c>
      <c r="R38" t="e">
        <f t="shared" si="0"/>
        <v>#VALUE!</v>
      </c>
      <c r="AA38">
        <v>15</v>
      </c>
      <c r="AB38" t="s">
        <v>2973</v>
      </c>
    </row>
    <row r="39" spans="2:28" x14ac:dyDescent="0.35">
      <c r="C39" t="e" cm="1">
        <f t="array" ref="C39">TRANSPOSE(
    _xlfn.FILTERXML(
        "&lt;t&gt;&lt;s&gt;" &amp;
        SUBSTITUTE(
            B39,
            " ",
            "&lt;/s&gt;&lt;s&gt;"
        ) &amp; "&lt;/s&gt;&lt;/t&gt;",
        "//s"
    )
)</f>
        <v>#VALUE!</v>
      </c>
      <c r="R39" t="e">
        <f t="shared" si="0"/>
        <v>#VALUE!</v>
      </c>
      <c r="AA39">
        <v>17</v>
      </c>
      <c r="AB39" t="s">
        <v>3267</v>
      </c>
    </row>
    <row r="41" spans="2:28" x14ac:dyDescent="0.35">
      <c r="F41" t="s">
        <v>3311</v>
      </c>
    </row>
    <row r="44" spans="2:28" x14ac:dyDescent="0.35">
      <c r="B44">
        <f>'Request for approval'!D6</f>
        <v>0</v>
      </c>
    </row>
  </sheetData>
  <hyperlinks>
    <hyperlink ref="Z23" r:id="rId1" xr:uid="{3C8C332D-AA14-4361-A78B-A414A7180C98}"/>
  </hyperlinks>
  <pageMargins left="0.7" right="0.7" top="0.75" bottom="0.75" header="0.3" footer="0.3"/>
  <pageSetup paperSize="9" orientation="portrait" r:id="rId2"/>
  <headerFooter>
    <oddHeader>&amp;R&amp;"Calibri"&amp;10&amp;K000000Internal Use&amp;1#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DocumentType xmlns="6573b701-33ff-4f9b-a506-67200806b05f" xsi:nil="true"/>
    <Status xmlns="6573b701-33ff-4f9b-a506-67200806b05f" xsi:nil="true"/>
    <_dlc_DocId xmlns="15ac8131-6f28-437f-bb89-657faef636c8">ESM1-65174841-7368</_dlc_DocId>
    <_dlc_DocIdUrl xmlns="15ac8131-6f28-437f-bb89-657faef636c8">
      <Url>https://esm.sharepoint.com/sites/BAU-CLP/_layouts/15/DocIdRedir.aspx?ID=ESM1-65174841-7368</Url>
      <Description>ESM1-65174841-7368</Description>
    </_dlc_DocIdUrl>
    <TaxCatchAll xmlns="15ac8131-6f28-437f-bb89-657faef636c8" xsi:nil="true"/>
    <lcf76f155ced4ddcb4097134ff3c332f xmlns="6573b701-33ff-4f9b-a506-67200806b05f">
      <Terms xmlns="http://schemas.microsoft.com/office/infopath/2007/PartnerControls"/>
    </lcf76f155ced4ddcb4097134ff3c332f>
    <SharedWithUsers xmlns="15ac8131-6f28-437f-bb89-657faef636c8">
      <UserInfo>
        <DisplayName>Kallirroi Kapetanaki</DisplayName>
        <AccountId>96</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1596D46849879E4C96BF282831708220" ma:contentTypeVersion="17" ma:contentTypeDescription="Create a new document." ma:contentTypeScope="" ma:versionID="d1b168cf4dadaeafb013945d539842c5">
  <xsd:schema xmlns:xsd="http://www.w3.org/2001/XMLSchema" xmlns:xs="http://www.w3.org/2001/XMLSchema" xmlns:p="http://schemas.microsoft.com/office/2006/metadata/properties" xmlns:ns2="6573b701-33ff-4f9b-a506-67200806b05f" xmlns:ns3="15ac8131-6f28-437f-bb89-657faef636c8" targetNamespace="http://schemas.microsoft.com/office/2006/metadata/properties" ma:root="true" ma:fieldsID="fd1926b29bfe6567204a7b84014af54c" ns2:_="" ns3:_="">
    <xsd:import namespace="6573b701-33ff-4f9b-a506-67200806b05f"/>
    <xsd:import namespace="15ac8131-6f28-437f-bb89-657faef636c8"/>
    <xsd:element name="properties">
      <xsd:complexType>
        <xsd:sequence>
          <xsd:element name="documentManagement">
            <xsd:complexType>
              <xsd:all>
                <xsd:element ref="ns2:DocumentType" minOccurs="0"/>
                <xsd:element ref="ns2:Status" minOccurs="0"/>
                <xsd:element ref="ns2:MediaServiceMetadata" minOccurs="0"/>
                <xsd:element ref="ns2:MediaServiceFastMetadata" minOccurs="0"/>
                <xsd:element ref="ns2:MediaServiceAutoKeyPoints" minOccurs="0"/>
                <xsd:element ref="ns2:MediaServiceKeyPoints" minOccurs="0"/>
                <xsd:element ref="ns3:_dlc_DocId" minOccurs="0"/>
                <xsd:element ref="ns3:_dlc_DocIdUrl" minOccurs="0"/>
                <xsd:element ref="ns3:_dlc_DocIdPersistId"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73b701-33ff-4f9b-a506-67200806b05f" elementFormDefault="qualified">
    <xsd:import namespace="http://schemas.microsoft.com/office/2006/documentManagement/types"/>
    <xsd:import namespace="http://schemas.microsoft.com/office/infopath/2007/PartnerControls"/>
    <xsd:element name="DocumentType" ma:index="8" nillable="true" ma:displayName="Document type" ma:format="Dropdown" ma:internalName="DocumentType" ma:readOnly="false">
      <xsd:simpleType>
        <xsd:restriction base="dms:Choice">
          <xsd:enumeration value="-"/>
        </xsd:restriction>
      </xsd:simpleType>
    </xsd:element>
    <xsd:element name="Status" ma:index="9" nillable="true" ma:displayName="Status" ma:format="Dropdown" ma:internalName="Status" ma:readOnly="false">
      <xsd:simpleType>
        <xsd:restriction base="dms:Choice">
          <xsd:enumeration value="Draft"/>
          <xsd:enumeration value="Ready for approval"/>
          <xsd:enumeration value="Approved / Released"/>
          <xsd:enumeration value="Outdated"/>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6ac0feec-d12f-4e8a-a0f9-8c1043693aa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ac8131-6f28-437f-bb89-657faef636c8" elementFormDefault="qualified">
    <xsd:import namespace="http://schemas.microsoft.com/office/2006/documentManagement/types"/>
    <xsd:import namespace="http://schemas.microsoft.com/office/infopath/2007/PartnerControls"/>
    <xsd:element name="_dlc_DocId" ma:index="14" nillable="true" ma:displayName="Document ID Value" ma:description="The value of the document ID assigned to this item." ma:indexed="true" ma:internalName="_dlc_DocId" ma:readOnly="true">
      <xsd:simpleType>
        <xsd:restriction base="dms:Text"/>
      </xsd:simpleType>
    </xsd:element>
    <xsd:element name="_dlc_DocIdUrl" ma:index="15"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6" nillable="true" ma:displayName="Persist ID" ma:description="Keep ID on add." ma:hidden="true" ma:internalName="_dlc_DocIdPersistId" ma:readOnly="true">
      <xsd:simpleType>
        <xsd:restriction base="dms:Boolean"/>
      </xsd:simpleType>
    </xsd:element>
    <xsd:element name="SharedWithUsers" ma:index="17"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496aca09-1b87-4733-b184-4f62b479014a}" ma:internalName="TaxCatchAll" ma:showField="CatchAllData" ma:web="15ac8131-6f28-437f-bb89-657faef636c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765C123-AD9F-4B77-A068-E68F86546095}">
  <ds:schemaRefs>
    <ds:schemaRef ds:uri="http://purl.org/dc/terms/"/>
    <ds:schemaRef ds:uri="http://schemas.microsoft.com/office/2006/documentManagement/types"/>
    <ds:schemaRef ds:uri="http://schemas.microsoft.com/office/2006/metadata/properties"/>
    <ds:schemaRef ds:uri="http://purl.org/dc/dcmitype/"/>
    <ds:schemaRef ds:uri="http://schemas.microsoft.com/office/infopath/2007/PartnerControls"/>
    <ds:schemaRef ds:uri="http://www.w3.org/XML/1998/namespace"/>
    <ds:schemaRef ds:uri="http://schemas.openxmlformats.org/package/2006/metadata/core-properties"/>
    <ds:schemaRef ds:uri="15ac8131-6f28-437f-bb89-657faef636c8"/>
    <ds:schemaRef ds:uri="6573b701-33ff-4f9b-a506-67200806b05f"/>
    <ds:schemaRef ds:uri="http://purl.org/dc/elements/1.1/"/>
  </ds:schemaRefs>
</ds:datastoreItem>
</file>

<file path=customXml/itemProps2.xml><?xml version="1.0" encoding="utf-8"?>
<ds:datastoreItem xmlns:ds="http://schemas.openxmlformats.org/officeDocument/2006/customXml" ds:itemID="{07FFD3A3-DDDD-4AB9-96B1-D3601E198C07}">
  <ds:schemaRefs>
    <ds:schemaRef ds:uri="http://schemas.microsoft.com/sharepoint/v3/contenttype/forms"/>
  </ds:schemaRefs>
</ds:datastoreItem>
</file>

<file path=customXml/itemProps3.xml><?xml version="1.0" encoding="utf-8"?>
<ds:datastoreItem xmlns:ds="http://schemas.openxmlformats.org/officeDocument/2006/customXml" ds:itemID="{A993D130-5985-4BC5-A565-6E3CE3E99FBA}">
  <ds:schemaRefs>
    <ds:schemaRef ds:uri="http://schemas.microsoft.com/sharepoint/events"/>
  </ds:schemaRefs>
</ds:datastoreItem>
</file>

<file path=customXml/itemProps4.xml><?xml version="1.0" encoding="utf-8"?>
<ds:datastoreItem xmlns:ds="http://schemas.openxmlformats.org/officeDocument/2006/customXml" ds:itemID="{8F077CC1-570B-4FE6-A8F0-DCAC318DE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573b701-33ff-4f9b-a506-67200806b05f"/>
    <ds:schemaRef ds:uri="15ac8131-6f28-437f-bb89-657faef636c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Sourcing types</vt:lpstr>
      <vt:lpstr>Request for approval</vt:lpstr>
      <vt:lpstr>Consultant</vt:lpstr>
      <vt:lpstr>Supplier Data</vt:lpstr>
      <vt:lpstr>Ready for Email</vt:lpstr>
      <vt:lpstr>RFA Backend</vt:lpstr>
      <vt:lpstr>Data validation</vt:lpstr>
      <vt:lpstr>Email address</vt:lpstr>
    </vt:vector>
  </TitlesOfParts>
  <Manager/>
  <Company>European Stability Mechanism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Nonso Enemuoh</dc:creator>
  <cp:keywords/>
  <dc:description/>
  <cp:lastModifiedBy>Zilefac Fogap Njinju</cp:lastModifiedBy>
  <cp:revision/>
  <dcterms:created xsi:type="dcterms:W3CDTF">2022-02-25T03:37:15Z</dcterms:created>
  <dcterms:modified xsi:type="dcterms:W3CDTF">2024-07-17T12:54:06Z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0x0101001596D46849879E4C96BF282831708220</vt:lpwstr>
  </property>
  <property fmtid="{D5CDD505-2E9C-101B-9397-08002B2CF9AE}" pid="3" name="_dlc_DocIdItemGuid">
    <vt:lpwstr>973af01a-1c3a-45ec-9a93-392c4f976350</vt:lpwstr>
  </property>
  <property fmtid="{D5CDD505-2E9C-101B-9397-08002B2CF9AE}" pid="4" name="MSIP_Label_1764a71f-7e5e-4aeb-ba26-1fccf4925c1d_Enabled">
    <vt:lpwstr>true</vt:lpwstr>
  </property>
  <property fmtid="{D5CDD505-2E9C-101B-9397-08002B2CF9AE}" pid="5" name="MSIP_Label_1764a71f-7e5e-4aeb-ba26-1fccf4925c1d_SetDate">
    <vt:lpwstr>2023-05-11T13:47:54Z</vt:lpwstr>
  </property>
  <property fmtid="{D5CDD505-2E9C-101B-9397-08002B2CF9AE}" pid="6" name="MSIP_Label_1764a71f-7e5e-4aeb-ba26-1fccf4925c1d_Method">
    <vt:lpwstr>Standard</vt:lpwstr>
  </property>
  <property fmtid="{D5CDD505-2E9C-101B-9397-08002B2CF9AE}" pid="7" name="MSIP_Label_1764a71f-7e5e-4aeb-ba26-1fccf4925c1d_Name">
    <vt:lpwstr>Internal</vt:lpwstr>
  </property>
  <property fmtid="{D5CDD505-2E9C-101B-9397-08002B2CF9AE}" pid="8" name="MSIP_Label_1764a71f-7e5e-4aeb-ba26-1fccf4925c1d_SiteId">
    <vt:lpwstr>98e29ecf-22bf-49bc-85a7-51537b56ef79</vt:lpwstr>
  </property>
  <property fmtid="{D5CDD505-2E9C-101B-9397-08002B2CF9AE}" pid="9" name="MSIP_Label_1764a71f-7e5e-4aeb-ba26-1fccf4925c1d_ActionId">
    <vt:lpwstr>bb792dbb-f128-4231-83c0-81b31dd5d353</vt:lpwstr>
  </property>
  <property fmtid="{D5CDD505-2E9C-101B-9397-08002B2CF9AE}" pid="10" name="MSIP_Label_1764a71f-7e5e-4aeb-ba26-1fccf4925c1d_ContentBits">
    <vt:lpwstr>1</vt:lpwstr>
  </property>
  <property fmtid="{D5CDD505-2E9C-101B-9397-08002B2CF9AE}" pid="11" name="MediaServiceImageTags">
    <vt:lpwstr/>
  </property>
  <property fmtid="{D5CDD505-2E9C-101B-9397-08002B2CF9AE}" pid="12" name="MSIP_Label_c337be75-dfbb-4261-9834-ac247c7dde13_Enabled">
    <vt:lpwstr>true</vt:lpwstr>
  </property>
  <property fmtid="{D5CDD505-2E9C-101B-9397-08002B2CF9AE}" pid="13" name="MSIP_Label_c337be75-dfbb-4261-9834-ac247c7dde13_SetDate">
    <vt:lpwstr>2024-07-17T12:54:06Z</vt:lpwstr>
  </property>
  <property fmtid="{D5CDD505-2E9C-101B-9397-08002B2CF9AE}" pid="14" name="MSIP_Label_c337be75-dfbb-4261-9834-ac247c7dde13_Method">
    <vt:lpwstr>Standard</vt:lpwstr>
  </property>
  <property fmtid="{D5CDD505-2E9C-101B-9397-08002B2CF9AE}" pid="15" name="MSIP_Label_c337be75-dfbb-4261-9834-ac247c7dde13_Name">
    <vt:lpwstr>Algemeen</vt:lpwstr>
  </property>
  <property fmtid="{D5CDD505-2E9C-101B-9397-08002B2CF9AE}" pid="16" name="MSIP_Label_c337be75-dfbb-4261-9834-ac247c7dde13_SiteId">
    <vt:lpwstr>77d33cc5-c9b4-4766-95c7-ed5b515e1cce</vt:lpwstr>
  </property>
  <property fmtid="{D5CDD505-2E9C-101B-9397-08002B2CF9AE}" pid="17" name="MSIP_Label_c337be75-dfbb-4261-9834-ac247c7dde13_ActionId">
    <vt:lpwstr>7ed743de-a7b8-405b-9bc8-92a0ce7bb93b</vt:lpwstr>
  </property>
  <property fmtid="{D5CDD505-2E9C-101B-9397-08002B2CF9AE}" pid="18" name="MSIP_Label_c337be75-dfbb-4261-9834-ac247c7dde13_ContentBits">
    <vt:lpwstr>0</vt:lpwstr>
  </property>
</Properties>
</file>